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athalia/"/>
    </mc:Choice>
  </mc:AlternateContent>
  <xr:revisionPtr revIDLastSave="1487" documentId="8_{3AD092A4-6F82-4EC5-9F37-EF84E479D2ED}" xr6:coauthVersionLast="47" xr6:coauthVersionMax="47" xr10:uidLastSave="{9697AD4A-4413-43B0-976E-714D057BAB25}"/>
  <bookViews>
    <workbookView xWindow="-108" yWindow="-108" windowWidth="23256" windowHeight="12456" firstSheet="5" activeTab="5"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definedNames>
    <definedName name="Time">Mar!$A$8:$J$160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8" i="6" l="1"/>
  <c r="H157" i="6"/>
  <c r="H159" i="6"/>
  <c r="H160" i="6"/>
  <c r="H155" i="6"/>
  <c r="H156" i="6"/>
  <c r="H153" i="6"/>
  <c r="H154" i="6"/>
  <c r="H151" i="6"/>
  <c r="H152" i="6"/>
  <c r="H146" i="6"/>
  <c r="H145" i="6"/>
  <c r="H140" i="6"/>
  <c r="H141" i="6"/>
  <c r="H142" i="6"/>
  <c r="H143" i="6"/>
  <c r="H144" i="6"/>
  <c r="H147" i="6"/>
  <c r="H148" i="6"/>
  <c r="H136" i="6"/>
  <c r="H137" i="6"/>
  <c r="H138" i="6"/>
  <c r="H139" i="6"/>
  <c r="H133" i="6"/>
  <c r="H134" i="6"/>
  <c r="H135" i="6"/>
  <c r="H132" i="6"/>
  <c r="H126" i="6"/>
  <c r="H127" i="6"/>
  <c r="H128" i="6"/>
  <c r="H129" i="6"/>
  <c r="H130" i="6"/>
  <c r="H131" i="6"/>
  <c r="H125" i="6"/>
  <c r="H120" i="6"/>
  <c r="H121" i="6"/>
  <c r="H122" i="6"/>
  <c r="H123" i="6"/>
  <c r="H124" i="6"/>
  <c r="H118" i="6"/>
  <c r="H119" i="6"/>
  <c r="H114" i="6"/>
  <c r="H115" i="6"/>
  <c r="H116" i="6"/>
  <c r="H117" i="6"/>
  <c r="H109" i="6"/>
  <c r="H105" i="6"/>
  <c r="H106" i="6"/>
  <c r="H107" i="6"/>
  <c r="H108" i="6"/>
  <c r="H104" i="6"/>
  <c r="H110" i="6"/>
  <c r="H111" i="6"/>
  <c r="H112" i="6"/>
  <c r="H113" i="6"/>
  <c r="H149" i="6"/>
  <c r="H150" i="6"/>
  <c r="H103" i="6"/>
  <c r="H99" i="6"/>
  <c r="H100" i="6"/>
  <c r="H101" i="6"/>
  <c r="H102" i="6"/>
  <c r="H95" i="6"/>
  <c r="H96" i="6"/>
  <c r="H97" i="6"/>
  <c r="H98" i="6"/>
  <c r="H94" i="6" l="1"/>
  <c r="H90" i="6"/>
  <c r="H91" i="6"/>
  <c r="H92" i="6"/>
  <c r="H93" i="6"/>
  <c r="H85" i="6"/>
  <c r="H86" i="6"/>
  <c r="H87" i="6"/>
  <c r="H84" i="6"/>
  <c r="H88" i="6"/>
  <c r="H80" i="6"/>
  <c r="H79" i="6"/>
  <c r="H78" i="6"/>
  <c r="H77" i="6"/>
  <c r="H73" i="6"/>
  <c r="H74" i="6"/>
  <c r="H75" i="6"/>
  <c r="H76" i="6"/>
  <c r="H71" i="6"/>
  <c r="H70" i="6"/>
  <c r="H69" i="6"/>
  <c r="H65" i="6"/>
  <c r="H66" i="6"/>
  <c r="H67" i="6"/>
  <c r="H68" i="6"/>
  <c r="H61" i="6"/>
  <c r="H62" i="6"/>
  <c r="H63" i="6"/>
  <c r="H59" i="6"/>
  <c r="H60" i="6"/>
  <c r="H57" i="6"/>
  <c r="H42" i="6"/>
  <c r="H40" i="6"/>
  <c r="H39" i="6"/>
  <c r="H41" i="6"/>
  <c r="H37" i="6"/>
  <c r="H33" i="6"/>
  <c r="H34" i="6"/>
  <c r="H35" i="6"/>
  <c r="H36" i="6"/>
  <c r="H28" i="6"/>
  <c r="H29" i="6"/>
  <c r="H30" i="6"/>
  <c r="H31" i="6"/>
  <c r="H18" i="6"/>
  <c r="H12" i="6"/>
  <c r="H13" i="6"/>
  <c r="H14" i="6"/>
  <c r="H15" i="6"/>
  <c r="H16" i="6"/>
  <c r="H17" i="6"/>
  <c r="H19" i="6"/>
  <c r="H20" i="6"/>
  <c r="H21" i="6"/>
  <c r="H22" i="6"/>
  <c r="H23" i="6"/>
  <c r="H24" i="6"/>
  <c r="H25" i="6"/>
  <c r="H26" i="6"/>
  <c r="H27" i="6"/>
  <c r="H32" i="6"/>
  <c r="H38" i="6"/>
  <c r="H54" i="6"/>
  <c r="H55" i="6"/>
  <c r="H56" i="6"/>
  <c r="H52" i="6"/>
  <c r="H51" i="6"/>
  <c r="H49" i="6"/>
  <c r="H48" i="6"/>
  <c r="H50" i="6"/>
  <c r="H47" i="6"/>
  <c r="H46" i="6"/>
  <c r="H39" i="4"/>
  <c r="H15" i="1"/>
  <c r="D14" i="9"/>
  <c r="F17" i="8"/>
  <c r="B6" i="8" s="1"/>
  <c r="F166" i="6"/>
  <c r="F41" i="5"/>
  <c r="F45" i="10"/>
  <c r="H9" i="10" l="1"/>
  <c r="F44" i="10" s="1"/>
  <c r="F41"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9" i="5"/>
  <c r="F41" i="4"/>
  <c r="H11" i="4"/>
  <c r="H32" i="3"/>
  <c r="H39" i="3"/>
  <c r="H11" i="1"/>
  <c r="H9" i="6"/>
  <c r="H10" i="5"/>
  <c r="H9" i="3"/>
  <c r="H9" i="1" l="1"/>
  <c r="F43" i="1" s="1"/>
  <c r="H17" i="4"/>
  <c r="H18" i="4"/>
  <c r="H16" i="4"/>
  <c r="H15" i="4"/>
  <c r="H14" i="4"/>
  <c r="H13" i="4"/>
  <c r="H38" i="3"/>
  <c r="H37" i="3"/>
  <c r="H36" i="3"/>
  <c r="H43" i="6" l="1"/>
  <c r="H44" i="6"/>
  <c r="H45" i="6"/>
  <c r="H53" i="6"/>
  <c r="H58" i="6"/>
  <c r="H64" i="6"/>
  <c r="H72" i="6"/>
  <c r="H81" i="6"/>
  <c r="H82" i="6"/>
  <c r="H83" i="6"/>
  <c r="H89"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F45" i="3" l="1"/>
  <c r="F42" i="5"/>
  <c r="H10" i="6"/>
  <c r="H11" i="6"/>
  <c r="F163" i="6"/>
  <c r="H10" i="3"/>
  <c r="F44" i="3" s="1"/>
  <c r="H11" i="3"/>
  <c r="H12" i="3"/>
  <c r="H13" i="3"/>
  <c r="F38" i="5"/>
  <c r="F41" i="3"/>
  <c r="F40" i="1"/>
  <c r="F46" i="4" l="1"/>
  <c r="F43" i="5"/>
  <c r="B6" i="6"/>
  <c r="B6" i="5"/>
  <c r="B6" i="4"/>
  <c r="F46" i="3"/>
  <c r="B6" i="3"/>
  <c r="F45" i="1"/>
  <c r="B6" i="1"/>
  <c r="F167" i="6"/>
  <c r="F168" i="6" s="1"/>
</calcChain>
</file>

<file path=xl/sharedStrings.xml><?xml version="1.0" encoding="utf-8"?>
<sst xmlns="http://schemas.openxmlformats.org/spreadsheetml/2006/main" count="1452" uniqueCount="339">
  <si>
    <t>Consultant</t>
  </si>
  <si>
    <t>Example</t>
  </si>
  <si>
    <t>Total Billable Hours</t>
  </si>
  <si>
    <t>Date</t>
  </si>
  <si>
    <t>D of Week</t>
  </si>
  <si>
    <t>Client</t>
  </si>
  <si>
    <t>Client Project Name</t>
  </si>
  <si>
    <t>Description</t>
  </si>
  <si>
    <t>Billable or Non Billable</t>
  </si>
  <si>
    <t>Comments</t>
  </si>
  <si>
    <t>Total Hours</t>
  </si>
  <si>
    <t>Start Time</t>
  </si>
  <si>
    <t>End Time</t>
  </si>
  <si>
    <t>Tuesday</t>
  </si>
  <si>
    <t>Internal Sambe</t>
  </si>
  <si>
    <t>.NET code</t>
  </si>
  <si>
    <t>Billable</t>
  </si>
  <si>
    <t>Detailed Description of task(s) done</t>
  </si>
  <si>
    <t>Wednesday</t>
  </si>
  <si>
    <t>Thursday</t>
  </si>
  <si>
    <t>Friday</t>
  </si>
  <si>
    <t>Saturday</t>
  </si>
  <si>
    <t>Sunday</t>
  </si>
  <si>
    <t>Monday</t>
  </si>
  <si>
    <t>Forcasted Hours</t>
  </si>
  <si>
    <t>Forcasted Work Days this month</t>
  </si>
  <si>
    <t>Line Manager :</t>
  </si>
  <si>
    <t>Billable Hours</t>
  </si>
  <si>
    <t>Contractor:</t>
  </si>
  <si>
    <t>Non Billable Hours</t>
  </si>
  <si>
    <t>Total of All Hours</t>
  </si>
  <si>
    <t>Plus: Hours worked, not claimed</t>
  </si>
  <si>
    <t>Public Holiday</t>
  </si>
  <si>
    <t>Non-Billable</t>
  </si>
  <si>
    <t>Day of Reconciliation</t>
  </si>
  <si>
    <t>Christmas</t>
  </si>
  <si>
    <t>Boxing Day</t>
  </si>
  <si>
    <t>Public holiday</t>
  </si>
  <si>
    <t>Nathalia</t>
  </si>
  <si>
    <t>Graduate programme</t>
  </si>
  <si>
    <t>Meeting</t>
  </si>
  <si>
    <t>Offical welcoming and onboarding session. The Graduate programmes was introduced, expectations discussed and important details discussed to help graduates get started. A task was also given on this day (Dreamboards). After the meeting ended at 10:30, Dreamboard creation and preparation took place, lunch break at 12:30 and Dreamboard creation and preparation followed until the end of the work day at 17:00</t>
  </si>
  <si>
    <t>Research</t>
  </si>
  <si>
    <t>Dreamboard creation and preparation took place, lunch break  was used for travel from residetial to work address (Approved by Angela, she was also informed of travel).  Dreamboard creation and preparation followed until the end of the work day at 17:00. Important Documents and commmunication with Discovery and Angela took place thorughout the day.</t>
  </si>
  <si>
    <t>Presenting</t>
  </si>
  <si>
    <t>In-person Welcome and onboarding took place at The Station Office  in Midrand.. In-depth intoductions, team interactions, important setup processes took place. Graduate presentations were held during this full day session</t>
  </si>
  <si>
    <t>In-person Welcome and onboarding took place at The Station Office  in Midrand. Mentor presentation and Previous Graduate video was played and watched. Laptop distribution and setup. Followed by Lunch and travel back to residential adderess after work hours.</t>
  </si>
  <si>
    <t>Meetings were held with mentors Bongani and Clement. A peer-to-peer meeting took place as well. Research done and signing and linking via Github and Confluence Platform. Lunch break at 13:00.Research task was given to be reserached over the weeked and discussed in the following week.</t>
  </si>
  <si>
    <t>Research over the weekend was discussed with additional research and tasks given. Meetings consisted of a stand-up morning meeting at 08:30, reserach task worked on peer meetings throughout the day , one-on-one meeting with my fellow graduate Tendo and end of day research discussion. Research Topics for the day included: Documentation, Confluence, Git and Github. Lunch break at 12:14. Continued research on research topics. Lastly 16:00 Presentation meeting was held with Bongani and Clement which ended at 18:21. Research task with after hours work was also given to be completed the following day.</t>
  </si>
  <si>
    <t>Meetings were held with mentors Bongani and Clement throughout the day. Stand-up morning meeting at 08:30. Research done on Git and Github, Different development environments, Devops, Database management systems, SQL and NoSQL, Distributed systems. Lunch break at 12:05.  Continued research on topics. Presentation meeting at 16:00 was held with Bongani and Clement, which finished at ended at 17:49. Research task with after hours work was also given to be completed the following day.</t>
  </si>
  <si>
    <t>Meetings were held with mentors Bongani and Clement throughout the day. Stand-up morning meeting at 08:30. Research done on Project Mangement, Scrum and Kanban, Agile and Waterfall and Introduction to Jira. A peer-to-peer meeting took place in the morning before group presentations.  Morning meeting at 11:00 on topics included a group presentation headed by me.  Lunch break at 12:11. Presentation meeting at 16:00 was held with Bongani and Clement, which finished at 18:15. Research task was given to be completed the following day.</t>
  </si>
  <si>
    <t>Meetings were held with mentors Bongani and Clement throughout the day. Stand-up morning meeting at 08:30 with Clement.  Research done on Git and GitHub, Different environment systems, SQL and NOSQL Different development environments. My team and as  Group Leader: A peer-to-peer meeting was held at 09:00-09:50. Lunch break at 12:30. Another peer meeting was headed by myself at 13:40-14:40. Continued research done on topics for afternoon presentation. Presentation meeting at 16:00 was held with Bongani and Clement which ended at 17:38. Research task was given to be completed the following day</t>
  </si>
  <si>
    <t>Meetings were held with mentors Bongani and Clement throughout the day. Stand-up morning meeting at 08:30 with Clement.  Research done on Jira, SQL and NoSQL, Naming Conventions for databases. A peer-to-peer meeting took place at 10:30. Group presentation held at 11:00.Lunch break was taken at 12:03. Presentation meeting at 16:00 was held with Bongani and Clement. Angela joined to discuss requirements and Documentation needed (timesheet). Meeting ended at 17:45.</t>
  </si>
  <si>
    <t>Meetings were held with mentors Bongani and Clement throughout the day. Stand-up morning meeting at 08:30 with Clement.  Research done on Jira where practical Jira projects and tasks were created. The NINES team (Lead by myself), created documentation for other gradutes to assisst in the task for the day, this was uploaded on Microsoft teams meeting Chat. Lunch break was taken at 12:05.  Teams meeting with Clement (Graduate meeting/catchup) took place at 14:00 and ran for 47 minutes.Peer-to-peer communication with the NINES team over whatsapp throughout the day(helping and assisting each other). Presentation meeting at 16:00 was held with Bongani and Clement. Meeting ended at 17:17.</t>
  </si>
  <si>
    <t>Meetings were held with mentors Bongani and Clement throughout the day. Stand-up morning meeting at 08:30 with Clement. Research work was done on SQL Fundamentals and Practical SQL statements/commands, ETL vs ELT, Unstructured vs Structured Data. Different data types, OLAP vs OLTP.  Documentation on confluence throughout the day and updating task progression on Jira. Lunch at 12:01. Check-in meeting with Clement from 13:00-14:20. Presentation meeting with Bongani and Clement at 16:00. Meeting ended at 17:23. More research work given on Properties of ACID, Watching SQL youtube tutorial, Transactions in SQL</t>
  </si>
  <si>
    <t>Meetings were held with mentors Bongani and Clement throughout the day. Stand-up morning meeting at 08:30 with Clement. Research work done on Topics mentioned from previous afternoon meeting. Check-in session with Clement at 11:00-12:00. Lunch break taken at 12:02. Research task continued and practical work on SQL Server and Youtube Guide with topics including Datalakes, NoSQL, ETLvsELT,etc. 16:00 Presentation meeting with Bongani and Clement ended at 17:44.</t>
  </si>
  <si>
    <t>Meetings were held with mentors Bongani and Clement throughout the day. Stand-up morning meeting at 08:30 with Clement. Research work done on Topics mentioned from previous afternoon meeting including Serialization and deserialization. Check-in session with Clement at 11:00. Lunch break taken at 12:10. Research task continued with practical work on SQL Server and Youtube Guide. Research topics including Datalakes, NoSQL, ETL vs ELT, OLAP vs OLTP, Serialization and deserialization and adding to my SQL cheat sheet. 16:00 Presentation meeting with Bongani and Clement ended 17:45.</t>
  </si>
  <si>
    <t>Meetings were held with mentors Bongani and Clement throughout the day. Stand-up morning meeting at 08:30 with Clement and Bongani in attendance. Research work done on Topics including GitHub Actions, SQL Queries and Statements, Encryption. Continued reserach on topics given throughout the week to better understand. Documentation of all work done on Confluence and Jira task descriptions and comments. Lunch break taken at 12:10. Research and practical work continued on topics mentioned for today. Gitbash used to push files into GitHub. Timesheet added to file before end of day. 16:00 Meeting with mentor Clement involved discussing research work done for the day. Meeting ended at 17:08</t>
  </si>
  <si>
    <t>Meetings were held with mentors Bongani and Clement throughout the day. Stand-up morning meeting at 08:30 with Clement. Research work done on continuing to learn SQL basics, GitHub Actions, Enryption basics and  learning the fundamentals of EXCEL, Lunch break taken at 12:03. Check-in meeting at 13:30-14:02 with Clement. Practical and research work continued on topics for today. 16:00 Meeting with Bongani and Clement ended at 17:16. Reserach topics for tommorrow include ETL vs ELT, Github actions (research and creating automations), Microservices,High visibility, practising branching strategies. Check-out at 17:19.</t>
  </si>
  <si>
    <t>Meetings were held with mentors Bongani and Clement throughout the day. Stand-up morning meeting at 08:30 with Clement. Research topics for today include ETL vs ELT, Github actions (research, creating/testing automations, practising branching strategies for the week), Microservices,High availability/visibility, Deployment Automated tools (basics), Excel and SQL understanding and research, Data Lakes, Date warehouses and Data marts. Check-in meeting with Clement at 11:20-12:00. Lunch break taken at 12:05. Continued research on topics for the day. 16:00 Meeting with Bongani and Clement ended at 17:15. Check-out at 17:16</t>
  </si>
  <si>
    <t xml:space="preserve">Meetings were held with mentors Bongani and Clement throughout the day. Stand-up morning meeting at 08:30 with Clement. Research on OKRS, Excel and SQL, GitHub Actions. Group Discussion meeting at 11:00 on GitHub Actions. Lunch break taken at 12:03. Research on GitHub actions with practical steps taken (Pease refer to my Jira project board for more details).16:00 Meeting with Bongani ended at 17:17. Checkout at 17:17 </t>
  </si>
  <si>
    <t xml:space="preserve">Meetings were held with mentors Bongani and Clement throughout the day. Stand-up morning meeting at 08:30 with Clement. Research on topics including SQL. EXCEL and Ngrok (basic) . More practical work done with evidence documented on Confluence and my Jira project board. Lunch break taken at 12:05. Research and practical worked continued.16:00 Meeting with Bongani ended at 17:28. Checkout at 17:30 </t>
  </si>
  <si>
    <t>Meetings were held with mentors Bongani and Clement throughout the day. Stand-up morning meeting at 08:30 with Clement. Research Topics include Distributed systems (clusters, nodes and load balancers), SQL and Excel coursera practical work, Github commands. Lunch break taken at 12:05. Reseacrh work continued on today's topics. 16:00 Meeting with Bongani and Clement and from 17:00-17:34.  Interview preparation meeting from 16:15-17:00. Timesheet uploaded to file around 15:30. Check-out at 17:34.</t>
  </si>
  <si>
    <t xml:space="preserve">Meetings were held with mentors Bongani and Clement throughout the day. Stand-up morning meeting at 08:30 with Clement. </t>
  </si>
  <si>
    <t>Research Topics include Fundamentals of Excel, Fundamentals of Python, Microsoft SQL Server Administration course, Pandas and Numpy,Microsoft Azure SQL.</t>
  </si>
  <si>
    <t>Lunch</t>
  </si>
  <si>
    <t>Lunch break taken at 12:02.</t>
  </si>
  <si>
    <t xml:space="preserve">Research work continued on today's topics mainly coursera course on Microsoft SQL Server Administration with Documentation on Confluence. </t>
  </si>
  <si>
    <t>Check-in meeting with Clement at 14:00.</t>
  </si>
  <si>
    <t>16:00 Meeting with Bongani and Clement ended at 17:32. Check-out at 17:34</t>
  </si>
  <si>
    <t>Meetings were held with mentors Bongani and Clement throughout the day. Stand-up morning meeting at 08:30 with Clement.</t>
  </si>
  <si>
    <t>Research Topics include  Latency, Throughput, IOPS (input/output operations per second), Bandwidth, Load balancing (routing) algorithms , System (coupled and loosely coupled), Microsoft SQL Server Coursera and documentation on confluence. Gitbash commands were used to upload some excel practice files.</t>
  </si>
  <si>
    <t xml:space="preserve">A quick meeting with Clement around 10:25. </t>
  </si>
  <si>
    <t xml:space="preserve">Research work continued on today's topics. </t>
  </si>
  <si>
    <t>Check-in meeting with Clement at 13:30 after lunch.</t>
  </si>
  <si>
    <t xml:space="preserve">16:00 Meeting with Bongani and Clement ended at 17:21. Check-out at 17:22. Work done after hours to focus on completing Microsoft SQL Server Project. </t>
  </si>
  <si>
    <t>Research Topics for today include Microsoft SQL Server Coursera and documentation on confluence, Fundamentals of Python: documentation, practical work and Coursera videos and guides.</t>
  </si>
  <si>
    <t>Lunch break taken at 12:04.</t>
  </si>
  <si>
    <t>Training</t>
  </si>
  <si>
    <t>Research work and training continued on today's topics.</t>
  </si>
  <si>
    <t>16:00 Meeting with Bongani and Clement ended at 17:17. Check-out at 17:18. Project on SQL Server Automation has been given by Bongani. Work done after hours to complete courses and documentation. Started Microsoft Azure SQL and research on Pandas and Numpy.</t>
  </si>
  <si>
    <t xml:space="preserve">Research Topics for today include Microsoft Azure SQL research and Fundamentals of Python research, GitHub updating and Gitbash commands used to upload Python files. Working on my Python terminal for practice and Documentation on Confluence. Research on Automation Project that was given Pandas and NumPy research was continued. Ngrok downloaded for automation project with confluence pages linked. </t>
  </si>
  <si>
    <t>Check-in meeting with Clement at 11:30.</t>
  </si>
  <si>
    <t>Lunch break taken at 12:05.</t>
  </si>
  <si>
    <t>16:00 Meeting with Bongani  ended at 16:55. Udemy course enrolled and Jira board management. Check-out at 17:03.</t>
  </si>
  <si>
    <t>Meetings were held with mentors Bongani and Clement throughout the day. Stand-up morning meeting at 08:30 with Clement. Jira board administration.</t>
  </si>
  <si>
    <t>Research Topics include Ngrok, Gitbash and GitHub Actions. Udemy course on Microsoft SQL Server Database Administration Course and relevant documentation done on Confluence. Management of Jira board throughout the week, with pages linked, tasks completed and comments made.</t>
  </si>
  <si>
    <t xml:space="preserve">Lunch break taken at 12:05. </t>
  </si>
  <si>
    <t>16:00 Meeting with Bongani and Clement on Fixed and Growth Mindsets ended around 17:30. One-on one session with Bongani. Check-out 19:04 . SQL Server Automation Project to be worked on and Due 10 March 2025 (afternoon). Timesheet added to new March folder. File added before afternoon meeting.</t>
  </si>
  <si>
    <t>Meetings were held with mentors Bongani and Clement throughout the day. Check-in at 08:00. Jira board administration and  Stand-up morning meeting at 08:30 with Clement.</t>
  </si>
  <si>
    <t xml:space="preserve">Research Topics included Udemy Microsoft SQL Server Database Administration Course. Working  on Section 6 videos, notes, practical work done. </t>
  </si>
  <si>
    <t>Check-in meeting with Clement as part of the follow-up morning meeting where requirements of work was explained. Additional GitHub Udemy course was given.</t>
  </si>
  <si>
    <t>Research Topics included Udemy Microsoft SQL Server Database Administration Course. Working  on Section 6 videos, notes, practical work done. Jira board administration as guided by mentors.</t>
  </si>
  <si>
    <t>Research Topics included Udemy Microsoft SQL Server Database Administration Course. Working  on Section 6 videos, notes, practical work done. Managing SSMS scripts to push to GitHub including SELECT, WHERE, ORDER BY, GROUP BY clauses.</t>
  </si>
  <si>
    <t>Meeting with Angela regarding Timesheets and improvements to be made.</t>
  </si>
  <si>
    <t>Meeting with Bongani and Clement on progress of work and what they expect of us as graduates. Management of Jira boards and Documentation of Scripts. Pushing scripts to GitHub everyday. Meeting ended at 17:26. Check-out at 17:32. Pushed my SSMS scripts on a new-branch and then merged it into my main GitHub branch.</t>
  </si>
  <si>
    <t>Research Topics included Udemy Microsoft SQL Server Database Administration Course. Continued working  on Section 6 videos, notes, practical work done. Jira board administration. Gitbash and GitHub commands to push and merge SSMS scripts.</t>
  </si>
  <si>
    <t>Lunch break taken at 12:06</t>
  </si>
  <si>
    <t>Research and training continued on topics for today. Gitbash and GitHub commands to push and merge SSMS scripts. Documentation of notes, practical and work done on Confluence and Jira Board. Managing GitHub repository by using Git commands.</t>
  </si>
  <si>
    <t>Meetings were held with mentors Bongani and Clement throughout the day. Check-in at 08:00. Jira board administration and  Stand-up morning meeting at 08:00 with Clement.</t>
  </si>
  <si>
    <t>Training and Research Topics included Udemy Microsoft SQL Server Database Administration Course. Continued working  on Section 6 videos, notes, practical work done. Jira board administration. Gitbash and GitHub commands to push and merge SSMS scripts. Additional topics include Functions, Stored Procedures, Triggers, Indexes.</t>
  </si>
  <si>
    <t>Progress Report Meeting with Clement at 11:00. Discussion on naming conventions.</t>
  </si>
  <si>
    <t>Lunch break at 12:05.</t>
  </si>
  <si>
    <t>Meeting with Bongani and Clement on progress of work and what they expect of us as graduates. Management of Jira boards and Documentation of Scripts. Pushing scripts to GitHub everyday. Meeting ended at 17:33. Check-out at 17:34.Accountability Partner meeting with my Fellow graduate Paballo ended at 18:20.</t>
  </si>
  <si>
    <t xml:space="preserve">Meetings were held with mentors Bongani and Clement throughout the day. Check-in at 08:00. Jira board administration and  Stand-up morning meeting at 08:00 to 08:20 with Clement. </t>
  </si>
  <si>
    <t>Training and Research Topics included Udemy Microsoft SQL Server Database Administration Course. Continued working  on Section 7 videos, notes, practical work done. Jira board administration. Gitbash and GitHub commands to push and merge SSMS scripts. Additional topics include Exploring SSMS (Activity Monitor, Execution Plan, etc) and Fixed and Growth Mindset, Gitbash and GitHub.</t>
  </si>
  <si>
    <t>Progress Report Meeting with Clement at 11:00. Meeting ended at 11:38. Research work continued.</t>
  </si>
  <si>
    <t>Lunch break at 12:05</t>
  </si>
  <si>
    <t>Training and research work on Udemy course continued with documentation done on confluence and Jira board administration. Meeting with Accountability Partner to assist with Documentation.</t>
  </si>
  <si>
    <t>Meeting with Bongani where content work was discussed before Joining presentation meeting on Gen AI and Dynamic SQL at 16:30.</t>
  </si>
  <si>
    <t>Gen AI and Dynamic SQL Presentation at 16:30 to 17:44</t>
  </si>
  <si>
    <t>Meeting with Bongani and Clement (catch-up meeting) ended at 18:04 and checkout at 18:05.</t>
  </si>
  <si>
    <t>Meetings were held with mentors Bongani and Clement throughout the day. Check-in at 08:00. Jira board administration and  Stand-up morning meeting at 08:00 to 08:21 with Clement.</t>
  </si>
  <si>
    <t>Training and Research Topics included Udemy Microsoft SQL Server Database Administration Course. Continued working  on Section 7 and Section 8 videos, notes, practical work done. Jira board administration. Gitbash and GitHub commands to push and merge SSMS scripts. Additional topics include Exploring SSMS (MasterDB, TempDB, MSSQL Architecture, etc) and Fixed and Growth Mindset, Gitbash and GitHub.</t>
  </si>
  <si>
    <t>Check-in One-on-one Meeting with Clement before Progress meeting.</t>
  </si>
  <si>
    <t>Progress Report Meeting with Clement at 11:00. Meeting ended at 12:14</t>
  </si>
  <si>
    <t xml:space="preserve">Training and research work on Udemy course continued with documentation done on confluence and Jira board administration. </t>
  </si>
  <si>
    <t>One-on-one meeting with Clement.</t>
  </si>
  <si>
    <t>Training and research work on Udemy course continued with documentation done on confluence and Jira board administration. Gitbash and GitHub management.</t>
  </si>
  <si>
    <t>Meeting with Bongani and Clement at 16:00. Discussion on Fixed and Growth Mindset where I headed the session. Timesheet was uploaded to file before 16:00 meeting. Weekend research on YouTube video on topic including Principles of success.</t>
  </si>
  <si>
    <t>Meetings were held with mentors Bongani and Clement throughout the day. Check-in at 08:00. Jira board administration and  Stand-up morning meeting at 08:00 to 09:00 with Clement.</t>
  </si>
  <si>
    <t>Training and Research Topics included Udemy Microsoft SQL Server Database Administration Course. Continued working  on Section 9  videos, notes, practical work done. Jira Board administration.</t>
  </si>
  <si>
    <t>Progress Report Meeting with Clement at 11:00-12:00. Jira board administration</t>
  </si>
  <si>
    <t>Lunch break taken at 12:01.</t>
  </si>
  <si>
    <t>Training and Research Topics included Udemy Microsoft SQL Server Database Administration Course. Continued working  on Section 9 videos, notes, practical work done. Jira Board administration. Gitbash and GitHub administration</t>
  </si>
  <si>
    <t>Meeting with Bongani and Clement at 16:00. Discussion on  Udemy Microsoft SQL Server Database Administration Course.Meeeting ended at 17:34. Checkout at 17:35. Completed Section 10 of Udemy course.</t>
  </si>
  <si>
    <t>Meetings were held with mentors Bongani and Clement throughout the day. Check-in at 07:50. Jira board administration and Stand-up morning meeting at 08:00 to 08:17 with Clement.</t>
  </si>
  <si>
    <t>Training and Research Topics included Udemy Microsoft SQL Server Database Administration Course. Continued working  on Section 10 and Section 11 videos, notes, practical work done. Jira Board administration. Gitbash and GitHub administration</t>
  </si>
  <si>
    <t>Progress Report Meeting with Clement at 11:00-12:03. Jira board administration.</t>
  </si>
  <si>
    <t>Training and Research Topics included Udemy Microsoft SQL Server Database Administration Course. Continued working  on Section 11 and Section 12 videos, notes, practical work done. Jira Board administration. Gitbash and GitHub administration</t>
  </si>
  <si>
    <t>Meeting with Bongani and Clement at 16:00. Discussion on  Udemy Microsoft SQL Server Database Administration Course.Meeeting ended at 17:58. Checkout at 18:00. Completed last sections of Udemy course.</t>
  </si>
  <si>
    <t>Meetings were held with mentors Bongani and Clement throughout the day. Check-in at 07:50. Jira board administration and Stand-up morning meeting at 08:00 to 08:18 with Clement.</t>
  </si>
  <si>
    <t>Training and Research Topics included Udemy Git and Git Hub Actions Course including videos, notes, practical work done. Jira Board administration. Gitbash and GitHub administration. Research on Pull request project and additional documentation. Administration on Confluence.</t>
  </si>
  <si>
    <t>Progress Report Meeting with Clement at 11:00-11:23. Jira board administration.</t>
  </si>
  <si>
    <t>Research on Pull Request Project.</t>
  </si>
  <si>
    <t>Lunch break taken at 12:03.</t>
  </si>
  <si>
    <t>Training and Research on Udemy Git and Git Hub Actions Course including videos, notes, practical work done. Jira Board administration. Gitbash and GitHub administration. Research on Pull request project and additional documentation. Meeting with Accountability partner.</t>
  </si>
  <si>
    <t>Meeting with Bongani and Clement at 16:00. Discussion on  Udemy Microsoft SQL Server Database Administration Course.Meeeting ended at 18:27. Checkout at 18:28. Completed Project Task on GitHub and Microsoft Teams notification</t>
  </si>
  <si>
    <t>Meetings were held with mentors Bongani and Clement throughout the day. Check-in at 07:50. Jira board administration and Stand-up morning meeting at 08:00 to 08:08 with Clement.</t>
  </si>
  <si>
    <t xml:space="preserve">Training and Research Topics included Udemy Git and Git Hub Actions Course including videos, notes, practical work done. Jira Board administration. Gitbash and GitHub administration. Pull request project requirements completed with notifications sent to MS teams and additional documentation on this process completed. </t>
  </si>
  <si>
    <t>Progress Report Meeting with Clement at 11:00. Jira board administration.</t>
  </si>
  <si>
    <t>Research and Training on GitHub course. Documentation on Confluence.</t>
  </si>
  <si>
    <t>Way of Work Meeting with Shaila and Angela.</t>
  </si>
  <si>
    <t>Lunch break taken at 12:59.</t>
  </si>
  <si>
    <t>Research and Training on GitHub course. Documentation on Confluence. Jira board administration</t>
  </si>
  <si>
    <t xml:space="preserve">Meeting with Bongani and Clement at 16:00. Discussion on  Udemy GitHub Course ended at 17:08. Checkout time at 17:09.  </t>
  </si>
  <si>
    <t>Human Rights Day</t>
  </si>
  <si>
    <t>Meetings were held with mentors Bongani and Clement throughout the day. Check-in at 07:50. Jira board administration and Stand-up morning meeting at 08:00 to 08:27 with Clement.</t>
  </si>
  <si>
    <t>Training and Research Topics included Udemy Excel course including videos, notes, practical work done. Jira Board administration. Gitbash and GitHub administration. Automation project research and testing</t>
  </si>
  <si>
    <t>Progress Report Meeting with Clement at 11:00-12:13. Jira board administration.</t>
  </si>
  <si>
    <t>Lunch break taken at 12:13.</t>
  </si>
  <si>
    <t>Meeting with my fellow graduate to help fix errors in GitHub workflows file.</t>
  </si>
  <si>
    <t>Meeting with Bongani and Clement at 16:00. Discussion on Udemy GitHub Course ended at 17:34 . Checkout time at 17:35.  Working on completing Automation Project.</t>
  </si>
  <si>
    <t>Meetings were held with mentors Bongani and Clement throughout the day. Check-in at 07:50. Jira board administration and Stand-up morning meeting at 08:00-08:20  with Clement.</t>
  </si>
  <si>
    <t>Progress Report Meeting with Clement at 11:00 to 11:50. Jira board administration.</t>
  </si>
  <si>
    <t xml:space="preserve">Training and Research Topics included Automation Project Jira Board administration. Gitbash and GitHub administration. </t>
  </si>
  <si>
    <t xml:space="preserve">Meeting with Bongani and Clement at 16:00. Discussion Automation Project Progress and recommendations.  Checkout time at 17:17 . </t>
  </si>
  <si>
    <t>Meetings were held with mentors Bongani and Clement throughout the day. Check-in at 07:50. Jira board administration and Stand-up morning meeting at 08:00-08:19  with Clement.</t>
  </si>
  <si>
    <t>Training and Research Topics included Udemy Excel course including videos, notes, practical work done. Jira Board administration. Gitbash and GitHub administration. Automation Project testing.</t>
  </si>
  <si>
    <t>Lunch break taken at 12:07.</t>
  </si>
  <si>
    <t xml:space="preserve">Meeting with Bongani and Clement at 16:00. Discussion on Automation Project with Part 2 required for tomorrow. Checkout time at 17:56 . </t>
  </si>
  <si>
    <t>Meetings were held with mentors Bongani and Clement throughout the day. Check-in at 07:50. Jira board administration and Stand-up morning meeting at 08:00-08:15  with Clement.</t>
  </si>
  <si>
    <t>Automation Project Testing, Error Fixing and Documentation. Communication with Accountability Partner to approve reviews and ensure workflow runs successfully. Gitbash and GitHub Actions administration.</t>
  </si>
  <si>
    <t>Accountability Partner Meeting discussing progress and check-in.</t>
  </si>
  <si>
    <t>Automation Project Testing, Error Fixing and Documentation. Communication with Accountability Partner to approve reviews and ensure workflow runs successfully. Gitbash and GitHub Actions administration. Jira board administration.</t>
  </si>
  <si>
    <t>Lunch break taken at 12:25.</t>
  </si>
  <si>
    <t>Training and Research Topics included Udemy Excel course including videos, notes, practical work done. Jira Board administration. Gitbash and GitHub administration. Automation Project documentation.</t>
  </si>
  <si>
    <t>Meeting with Bongani and Clement at 16:00. Discussion on Automation Project Part  Checkout time at  17:46.</t>
  </si>
  <si>
    <t>Meetings were held with mentors Bongani and Clement throughout the day. Check-in at 07:50. Jira board administration and Stand-up morning meeting at 08:00-08:21  with Clement.</t>
  </si>
  <si>
    <t>Training and Research Topics included Udemy Excel course including videos, notes, practical work done. Jira Board administration. Gitbash and GitHub administration.</t>
  </si>
  <si>
    <t>Training and Research Topics included Udemy Excel course including videos, notes, practical work done. Jira Board administration. Gitbash and GitHub administration. Managing excel scripts</t>
  </si>
  <si>
    <t>Lunch break taken at 12:00.</t>
  </si>
  <si>
    <t>Training and Research Topics included Udemy Excel course including videos, notes, practical work done. Jira Board administration. Gitbash and GitHub administration. Managing excel scripts. Research and installation regarding SSRS Project. SSRS exploration and research.</t>
  </si>
  <si>
    <t>Meeting with Bongani and Clement at 16:00. Discussion on Principles to live a successful life. Checkout time at 17:36. Timesheet uploaded to file around 15:30 before afternoon meeting.</t>
  </si>
  <si>
    <t>Meetings were held with mentors Bongani and Clement throughout the day. Check-in at 07:50. Jira board administration and Stand-up morning meeting at 08:00-08:21  with Clement. Jira board administration as instructed in the morning meeting.</t>
  </si>
  <si>
    <t>Meeting with Accountability Partner on SSRS Project. Clement joined for Clarification</t>
  </si>
  <si>
    <t>Jira Board administration. Training and research on Udemy Courses added.</t>
  </si>
  <si>
    <t>Training and Research Topics included Udemy Soft Skills and Linux course including videos, notes, practical work done. Jira Board administration.</t>
  </si>
  <si>
    <t>Training and research on Udemy courses continued with documentation on confluence and Jira board administration.</t>
  </si>
  <si>
    <t>Meeting with Bongani and Clement at 16:00. Discussion on coursework. Timesheet uploaded to file before afternoon meeting.</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</si>
  <si>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</si>
  <si>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</si>
  <si>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</si>
  <si>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</si>
  <si>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</si>
  <si>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</si>
  <si>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</si>
  <si>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</si>
  <si>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</si>
  <si>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</si>
  <si>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</si>
  <si>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</si>
  <si>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</si>
  <si>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</si>
  <si>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</si>
  <si>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</si>
  <si>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</si>
  <si>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</si>
  <si>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</si>
  <si>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</si>
  <si>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</si>
  <si>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</si>
  <si>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</si>
  <si>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</si>
  <si>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</si>
  <si>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</si>
  <si>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</si>
  <si>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</si>
  <si>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</si>
  <si>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</si>
  <si>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</si>
  <si>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</si>
  <si>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Admin</t>
  </si>
  <si>
    <t>Amanda</t>
  </si>
  <si>
    <t>Artist Proof Studio</t>
  </si>
  <si>
    <t>Screening</t>
  </si>
  <si>
    <t>Analysis</t>
  </si>
  <si>
    <t>Angela</t>
  </si>
  <si>
    <t>Assimil8 - AGA</t>
  </si>
  <si>
    <t>Headhunting</t>
  </si>
  <si>
    <t>Architecture</t>
  </si>
  <si>
    <t>Aubrey</t>
  </si>
  <si>
    <t>Base 3</t>
  </si>
  <si>
    <t>Interviews</t>
  </si>
  <si>
    <t>Avinash</t>
  </si>
  <si>
    <t>C. Steinweg</t>
  </si>
  <si>
    <t>Fixed Assets</t>
  </si>
  <si>
    <t>Configuration</t>
  </si>
  <si>
    <t>Beejal</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</si>
  <si>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</si>
  <si>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</si>
  <si>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</si>
  <si>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</si>
  <si>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</si>
  <si>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</si>
  <si>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</si>
  <si>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</si>
  <si>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</si>
  <si>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</si>
  <si>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</si>
  <si>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</si>
  <si>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</si>
  <si>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</si>
  <si>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</si>
  <si>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</si>
  <si>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Charles</t>
  </si>
  <si>
    <t>No</t>
  </si>
  <si>
    <t>Conekt – Winning Business</t>
  </si>
  <si>
    <t>Design</t>
  </si>
  <si>
    <t>Clement</t>
  </si>
  <si>
    <t>Conekt – Internal Meeting</t>
  </si>
  <si>
    <t>Documentation</t>
  </si>
  <si>
    <t xml:space="preserve">David </t>
  </si>
  <si>
    <t>Dentons</t>
  </si>
  <si>
    <t>Events</t>
  </si>
  <si>
    <t>Diederik</t>
  </si>
  <si>
    <t>Discovery</t>
  </si>
  <si>
    <t>ETL</t>
  </si>
  <si>
    <t>Diptendubala</t>
  </si>
  <si>
    <t>Discovery Information Governance and Security</t>
  </si>
  <si>
    <t>FrontEnd</t>
  </si>
  <si>
    <t>Edmond</t>
  </si>
  <si>
    <t>Discovery Bank</t>
  </si>
  <si>
    <t>Installing</t>
  </si>
  <si>
    <t>Elijah</t>
  </si>
  <si>
    <t>Discovery CSI</t>
  </si>
  <si>
    <t>Elrida</t>
  </si>
  <si>
    <t>Discovery Health</t>
  </si>
  <si>
    <t>Engelina</t>
  </si>
  <si>
    <t>Discovery People</t>
  </si>
  <si>
    <t>Other</t>
  </si>
  <si>
    <t>Eugene</t>
  </si>
  <si>
    <t xml:space="preserve">Discovery Skills </t>
  </si>
  <si>
    <t>Fayruz</t>
  </si>
  <si>
    <t>Discovery Vitality</t>
  </si>
  <si>
    <t>Project Management</t>
  </si>
  <si>
    <t>Hamerl</t>
  </si>
  <si>
    <t>Gyro</t>
  </si>
  <si>
    <t>Ian</t>
  </si>
  <si>
    <t>Healthforce</t>
  </si>
  <si>
    <t>Sales call</t>
  </si>
  <si>
    <t>Joseph</t>
  </si>
  <si>
    <t>KFC Digistics</t>
  </si>
  <si>
    <t>SharePoint</t>
  </si>
  <si>
    <t>Juan</t>
  </si>
  <si>
    <t>Medi-Charge</t>
  </si>
  <si>
    <t>Testing</t>
  </si>
  <si>
    <t>Kanelo</t>
  </si>
  <si>
    <t>MICA Build</t>
  </si>
  <si>
    <t>Travel</t>
  </si>
  <si>
    <t>Kavish</t>
  </si>
  <si>
    <t>Michelin</t>
  </si>
  <si>
    <t>Troubleshooting</t>
  </si>
  <si>
    <t>Lazarus</t>
  </si>
  <si>
    <t>Mistro Foods</t>
  </si>
  <si>
    <t>Waiting on client</t>
  </si>
  <si>
    <t>Lehlohonolo</t>
  </si>
  <si>
    <t>OK Furnitures</t>
  </si>
  <si>
    <t>Website content</t>
  </si>
  <si>
    <t>Lerato</t>
  </si>
  <si>
    <t>Olympic Paints</t>
  </si>
  <si>
    <t>Website and collateral</t>
  </si>
  <si>
    <t>Matsheliso</t>
  </si>
  <si>
    <t>RMB CM Data Warehouse support</t>
  </si>
  <si>
    <t>Annual Leave</t>
  </si>
  <si>
    <t xml:space="preserve">Ndivhudzannyi </t>
  </si>
  <si>
    <t>RMB CORE NRTI</t>
  </si>
  <si>
    <t>Sick leave</t>
  </si>
  <si>
    <t>Paulina</t>
  </si>
  <si>
    <t>RMB Liesha</t>
  </si>
  <si>
    <t>Study Leave</t>
  </si>
  <si>
    <t>Pranav</t>
  </si>
  <si>
    <t>RMB Tumelo</t>
  </si>
  <si>
    <t>Family Responsibility Leave</t>
  </si>
  <si>
    <t>Ravi</t>
  </si>
  <si>
    <t>Sachar Mobile</t>
  </si>
  <si>
    <t>Birthday leave</t>
  </si>
  <si>
    <t>Rivashan</t>
  </si>
  <si>
    <t>SBV</t>
  </si>
  <si>
    <t>Sahur</t>
  </si>
  <si>
    <t>Sibanya</t>
  </si>
  <si>
    <t>Sick Leave - half day</t>
  </si>
  <si>
    <t>Sanele</t>
  </si>
  <si>
    <t>Transport Holdings</t>
  </si>
  <si>
    <t>Sarah</t>
  </si>
  <si>
    <t>Shaila</t>
  </si>
  <si>
    <t>Shaylin</t>
  </si>
  <si>
    <t>Siemon</t>
  </si>
  <si>
    <t>Sonika</t>
  </si>
  <si>
    <t>Tatenda</t>
  </si>
  <si>
    <t>Timothy</t>
  </si>
  <si>
    <t>Tutu</t>
  </si>
  <si>
    <t>Vincent</t>
  </si>
  <si>
    <t>Yazeed</t>
  </si>
  <si>
    <t xml:space="preserve">Yugeshin </t>
  </si>
  <si>
    <t>Zola</t>
  </si>
  <si>
    <t>Karen</t>
  </si>
  <si>
    <t>Nagendra</t>
  </si>
  <si>
    <t>Tyson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</si>
</sst>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2"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
      <sz val="10"/>
      <color theme="1"/>
      <name val="Verdana"/>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s>
  <cellStyleXfs count="1">
    <xf numFmtId="0" fontId="0" fillId="0" borderId="0"/>
  </cellStyleXfs>
  <cellXfs count="175">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13" fillId="4" borderId="14" xfId="0" applyFont="1" applyFill="1" applyBorder="1"/>
    <xf numFmtId="0" fontId="13" fillId="4" borderId="15" xfId="0" applyFont="1" applyFill="1" applyBorder="1"/>
    <xf numFmtId="0" fontId="13" fillId="4" borderId="15"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5" xfId="0" applyFont="1" applyFill="1" applyBorder="1" applyAlignment="1">
      <alignment wrapText="1"/>
    </xf>
    <xf numFmtId="0" fontId="13" fillId="4" borderId="16" xfId="0" applyFont="1" applyFill="1" applyBorder="1" applyAlignment="1">
      <alignment horizontal="center" wrapText="1"/>
    </xf>
    <xf numFmtId="164" fontId="3" fillId="0" borderId="20"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7" xfId="0" applyFont="1" applyFill="1" applyBorder="1"/>
    <xf numFmtId="0" fontId="11" fillId="0" borderId="17" xfId="0" applyFont="1" applyBorder="1"/>
    <xf numFmtId="0" fontId="15" fillId="9" borderId="18" xfId="0" applyFont="1" applyFill="1" applyBorder="1"/>
    <xf numFmtId="0" fontId="15" fillId="8" borderId="19" xfId="0" applyFont="1" applyFill="1" applyBorder="1"/>
    <xf numFmtId="0" fontId="15" fillId="8" borderId="0" xfId="0" applyFont="1" applyFill="1"/>
    <xf numFmtId="0" fontId="15" fillId="9" borderId="19"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9" xfId="0" applyFont="1" applyBorder="1"/>
    <xf numFmtId="0" fontId="15" fillId="0" borderId="28" xfId="0" applyFont="1" applyBorder="1" applyAlignment="1">
      <alignment horizontal="left"/>
    </xf>
    <xf numFmtId="0" fontId="15" fillId="0" borderId="6" xfId="0" applyFont="1" applyBorder="1" applyAlignment="1">
      <alignment horizontal="left"/>
    </xf>
    <xf numFmtId="0" fontId="15" fillId="10" borderId="7" xfId="0" applyFont="1" applyFill="1" applyBorder="1" applyAlignment="1">
      <alignment horizontal="left"/>
    </xf>
    <xf numFmtId="0" fontId="15" fillId="9" borderId="40" xfId="0" applyFont="1" applyFill="1" applyBorder="1" applyAlignment="1">
      <alignment wrapText="1"/>
    </xf>
    <xf numFmtId="0" fontId="15" fillId="0" borderId="40" xfId="0" applyFont="1" applyBorder="1" applyAlignment="1">
      <alignment wrapText="1"/>
    </xf>
    <xf numFmtId="0" fontId="15" fillId="8" borderId="40" xfId="0" applyFont="1" applyFill="1" applyBorder="1" applyAlignment="1">
      <alignment wrapText="1"/>
    </xf>
    <xf numFmtId="0" fontId="15" fillId="0" borderId="40" xfId="0" applyFont="1" applyBorder="1" applyAlignment="1">
      <alignment horizontal="left"/>
    </xf>
    <xf numFmtId="165" fontId="4" fillId="0" borderId="0" xfId="0" applyNumberFormat="1" applyFont="1"/>
    <xf numFmtId="165" fontId="4" fillId="0" borderId="0" xfId="0" applyNumberFormat="1" applyFont="1" applyAlignment="1">
      <alignment wrapText="1"/>
    </xf>
    <xf numFmtId="0" fontId="17" fillId="13" borderId="38" xfId="0" applyFont="1" applyFill="1" applyBorder="1" applyAlignment="1">
      <alignment horizontal="left" wrapText="1" readingOrder="1"/>
    </xf>
    <xf numFmtId="0" fontId="17" fillId="0" borderId="38" xfId="0" applyFont="1" applyBorder="1" applyAlignment="1">
      <alignment horizontal="left"/>
    </xf>
    <xf numFmtId="0" fontId="17" fillId="0" borderId="38" xfId="0" applyFont="1" applyBorder="1"/>
    <xf numFmtId="0" fontId="18" fillId="0" borderId="38" xfId="0" applyFont="1" applyBorder="1" applyAlignment="1">
      <alignment vertical="center"/>
    </xf>
    <xf numFmtId="0" fontId="17" fillId="0" borderId="41" xfId="0" applyFont="1" applyBorder="1"/>
    <xf numFmtId="0" fontId="17" fillId="0" borderId="41" xfId="0" applyFont="1" applyBorder="1" applyAlignment="1">
      <alignment horizontal="left"/>
    </xf>
    <xf numFmtId="0" fontId="17" fillId="0" borderId="28"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8" xfId="0" applyFont="1" applyBorder="1"/>
    <xf numFmtId="0" fontId="11" fillId="12" borderId="17"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4" xfId="0" applyNumberFormat="1" applyFont="1" applyFill="1" applyBorder="1" applyAlignment="1">
      <alignment horizontal="center" vertical="center"/>
    </xf>
    <xf numFmtId="167" fontId="4" fillId="0" borderId="27" xfId="0" applyNumberFormat="1" applyFont="1" applyBorder="1" applyAlignment="1">
      <alignment horizontal="center" vertical="center"/>
    </xf>
    <xf numFmtId="17" fontId="4" fillId="0" borderId="25"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42"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4" xfId="0" applyFont="1" applyBorder="1" applyAlignment="1">
      <alignment horizontal="center" vertical="center" wrapText="1"/>
    </xf>
    <xf numFmtId="0" fontId="12" fillId="0" borderId="3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9" xfId="0" applyFont="1" applyBorder="1"/>
    <xf numFmtId="0" fontId="4" fillId="0" borderId="31" xfId="0" applyFont="1" applyBorder="1"/>
    <xf numFmtId="0" fontId="4" fillId="0" borderId="32" xfId="0" applyFont="1" applyBorder="1"/>
    <xf numFmtId="0" fontId="12" fillId="0" borderId="0" xfId="0" applyFont="1" applyAlignment="1">
      <alignment vertical="center" wrapText="1"/>
    </xf>
    <xf numFmtId="0" fontId="4" fillId="0" borderId="10" xfId="0" applyFont="1" applyBorder="1" applyAlignment="1">
      <alignment vertical="center" wrapText="1"/>
    </xf>
    <xf numFmtId="20" fontId="4" fillId="0" borderId="0" xfId="0" applyNumberFormat="1" applyFont="1"/>
    <xf numFmtId="20" fontId="4" fillId="0" borderId="6" xfId="0" applyNumberFormat="1" applyFont="1" applyBorder="1"/>
    <xf numFmtId="14" fontId="21" fillId="0" borderId="6" xfId="0" applyNumberFormat="1" applyFont="1" applyBorder="1"/>
    <xf numFmtId="0" fontId="21" fillId="0" borderId="6" xfId="0" applyFont="1" applyBorder="1"/>
    <xf numFmtId="0" fontId="21" fillId="0" borderId="6" xfId="0" applyFont="1" applyBorder="1" applyAlignment="1">
      <alignment wrapText="1"/>
    </xf>
    <xf numFmtId="165" fontId="21" fillId="0" borderId="6" xfId="0" applyNumberFormat="1" applyFont="1" applyBorder="1"/>
    <xf numFmtId="165" fontId="21" fillId="0" borderId="6" xfId="0" applyNumberFormat="1" applyFont="1" applyBorder="1" applyAlignment="1">
      <alignment wrapText="1"/>
    </xf>
    <xf numFmtId="0" fontId="21" fillId="0" borderId="0" xfId="0" applyFont="1"/>
    <xf numFmtId="14" fontId="21" fillId="0" borderId="0" xfId="0" applyNumberFormat="1" applyFont="1"/>
    <xf numFmtId="0" fontId="21" fillId="0" borderId="0" xfId="0" applyFont="1" applyAlignment="1">
      <alignment wrapText="1"/>
    </xf>
    <xf numFmtId="165" fontId="21" fillId="0" borderId="0" xfId="0" applyNumberFormat="1" applyFont="1"/>
    <xf numFmtId="165" fontId="21" fillId="0" borderId="0" xfId="0" applyNumberFormat="1" applyFont="1" applyAlignment="1">
      <alignment wrapText="1"/>
    </xf>
    <xf numFmtId="14" fontId="4" fillId="0" borderId="26" xfId="0" applyNumberFormat="1" applyFont="1" applyBorder="1"/>
    <xf numFmtId="0" fontId="4" fillId="0" borderId="26" xfId="0" applyFont="1" applyBorder="1"/>
    <xf numFmtId="0" fontId="4" fillId="0" borderId="26" xfId="0" applyFont="1" applyBorder="1" applyAlignment="1">
      <alignment wrapText="1"/>
    </xf>
    <xf numFmtId="165" fontId="4" fillId="0" borderId="26" xfId="0" applyNumberFormat="1" applyFont="1" applyBorder="1"/>
    <xf numFmtId="165" fontId="4" fillId="0" borderId="26" xfId="0" applyNumberFormat="1" applyFont="1" applyBorder="1" applyAlignment="1">
      <alignment wrapText="1"/>
    </xf>
    <xf numFmtId="14" fontId="4" fillId="0" borderId="38" xfId="0" applyNumberFormat="1" applyFont="1" applyBorder="1"/>
    <xf numFmtId="0" fontId="4" fillId="0" borderId="38" xfId="0" applyFont="1" applyBorder="1"/>
    <xf numFmtId="0" fontId="4" fillId="0" borderId="38" xfId="0" applyFont="1" applyBorder="1" applyAlignment="1">
      <alignment wrapText="1"/>
    </xf>
    <xf numFmtId="165" fontId="4" fillId="0" borderId="38" xfId="0" applyNumberFormat="1" applyFont="1" applyBorder="1"/>
    <xf numFmtId="165" fontId="4" fillId="0" borderId="38" xfId="0" applyNumberFormat="1" applyFont="1" applyBorder="1" applyAlignment="1">
      <alignment wrapText="1"/>
    </xf>
    <xf numFmtId="14" fontId="4" fillId="0" borderId="28" xfId="0" applyNumberFormat="1" applyFont="1" applyBorder="1"/>
    <xf numFmtId="0" fontId="4" fillId="0" borderId="28" xfId="0" applyFont="1" applyBorder="1"/>
    <xf numFmtId="0" fontId="4" fillId="0" borderId="28" xfId="0" applyFont="1" applyBorder="1" applyAlignment="1">
      <alignment wrapText="1"/>
    </xf>
    <xf numFmtId="165" fontId="4" fillId="0" borderId="28" xfId="0" applyNumberFormat="1" applyFont="1" applyBorder="1"/>
    <xf numFmtId="165" fontId="4" fillId="0" borderId="28" xfId="0" applyNumberFormat="1" applyFont="1" applyBorder="1" applyAlignment="1">
      <alignment wrapText="1"/>
    </xf>
    <xf numFmtId="14" fontId="4" fillId="0" borderId="41" xfId="0" applyNumberFormat="1" applyFont="1" applyBorder="1"/>
    <xf numFmtId="0" fontId="4" fillId="0" borderId="41" xfId="0" applyFont="1" applyBorder="1"/>
    <xf numFmtId="0" fontId="4" fillId="0" borderId="41" xfId="0" applyFont="1" applyBorder="1" applyAlignment="1">
      <alignment wrapText="1"/>
    </xf>
    <xf numFmtId="165" fontId="4" fillId="0" borderId="41" xfId="0" applyNumberFormat="1" applyFont="1" applyBorder="1"/>
    <xf numFmtId="165" fontId="4" fillId="0" borderId="41" xfId="0" applyNumberFormat="1" applyFont="1" applyBorder="1" applyAlignment="1">
      <alignment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6" xfId="0" applyFont="1" applyBorder="1" applyAlignment="1">
      <alignment horizontal="left" vertical="center"/>
    </xf>
    <xf numFmtId="0" fontId="12" fillId="5" borderId="12" xfId="0" applyFont="1" applyFill="1" applyBorder="1" applyAlignment="1">
      <alignment horizontal="left" vertical="center"/>
    </xf>
    <xf numFmtId="0" fontId="12" fillId="5" borderId="34"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3" fillId="14" borderId="0" xfId="0" applyFont="1" applyFill="1" applyAlignment="1">
      <alignment horizontal="center" vertical="center"/>
    </xf>
    <xf numFmtId="0" fontId="4" fillId="11" borderId="10" xfId="0" applyFont="1" applyFill="1" applyBorder="1" applyAlignment="1">
      <alignment horizontal="center"/>
    </xf>
    <xf numFmtId="0" fontId="4" fillId="11" borderId="0" xfId="0" applyFont="1" applyFill="1" applyAlignment="1">
      <alignment horizont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0" xfId="0" applyFont="1" applyBorder="1" applyAlignment="1">
      <alignment horizontal="center"/>
    </xf>
    <xf numFmtId="0" fontId="4" fillId="0" borderId="35" xfId="0" applyFont="1" applyBorder="1" applyAlignment="1">
      <alignment horizontal="center"/>
    </xf>
    <xf numFmtId="0" fontId="4" fillId="0" borderId="6"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center"/>
    </xf>
    <xf numFmtId="0" fontId="4" fillId="0" borderId="37" xfId="0" applyFont="1" applyBorder="1" applyAlignment="1">
      <alignment horizontal="center"/>
    </xf>
    <xf numFmtId="0" fontId="13" fillId="4" borderId="45"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102" dataDxfId="101">
  <autoFilter ref="H2:H6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zoomScale="75" zoomScaleNormal="75" workbookViewId="0">
      <selection activeCell="C5" sqref="C5"/>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H5" s="40"/>
    </row>
    <row r="6" spans="1:10" x14ac:dyDescent="0.2">
      <c r="A6" s="37" t="s">
        <v>2</v>
      </c>
      <c r="B6" s="86">
        <f>F44</f>
        <v>0.33333333333333331</v>
      </c>
      <c r="C6" s="37"/>
      <c r="H6" s="40"/>
      <c r="J6" s="41"/>
    </row>
    <row r="7" spans="1:10" x14ac:dyDescent="0.2">
      <c r="A7" s="37"/>
      <c r="B7" s="46"/>
      <c r="C7" s="37"/>
      <c r="D7" s="37"/>
      <c r="E7" s="37"/>
      <c r="H7" s="40"/>
      <c r="J7" s="41"/>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45566</v>
      </c>
      <c r="B9" s="22" t="s">
        <v>13</v>
      </c>
      <c r="C9" s="27" t="s">
        <v>14</v>
      </c>
      <c r="D9" s="27" t="s">
        <v>1</v>
      </c>
      <c r="E9" s="27" t="s">
        <v>15</v>
      </c>
      <c r="F9" s="27" t="s">
        <v>16</v>
      </c>
      <c r="G9" s="28" t="s">
        <v>17</v>
      </c>
      <c r="H9" s="29">
        <f t="shared" ref="H9" si="0">J9-I9</f>
        <v>0.33333333333333331</v>
      </c>
      <c r="I9" s="30">
        <v>0.33333333333333331</v>
      </c>
      <c r="J9" s="30">
        <v>0.66666666666666663</v>
      </c>
    </row>
    <row r="10" spans="1:10" x14ac:dyDescent="0.2">
      <c r="A10" s="22">
        <v>45567</v>
      </c>
      <c r="B10" s="22" t="s">
        <v>18</v>
      </c>
      <c r="C10" s="27"/>
      <c r="D10" s="27"/>
      <c r="E10" s="27"/>
      <c r="F10" s="27"/>
      <c r="G10" s="28"/>
      <c r="H10" s="29">
        <f t="shared" ref="H10:H39" si="1">J10-I10</f>
        <v>0</v>
      </c>
      <c r="I10" s="30"/>
      <c r="J10" s="30"/>
    </row>
    <row r="11" spans="1:10" x14ac:dyDescent="0.2">
      <c r="A11" s="22">
        <v>45568</v>
      </c>
      <c r="B11" s="22" t="s">
        <v>19</v>
      </c>
      <c r="C11" s="27"/>
      <c r="D11" s="27"/>
      <c r="E11" s="27"/>
      <c r="F11" s="27"/>
      <c r="G11" s="28"/>
      <c r="H11" s="29">
        <f t="shared" si="1"/>
        <v>0</v>
      </c>
      <c r="I11" s="30"/>
      <c r="J11" s="30"/>
    </row>
    <row r="12" spans="1:10" x14ac:dyDescent="0.2">
      <c r="A12" s="22">
        <v>45569</v>
      </c>
      <c r="B12" s="22" t="s">
        <v>20</v>
      </c>
      <c r="C12" s="27"/>
      <c r="D12" s="27"/>
      <c r="E12" s="27"/>
      <c r="F12" s="27"/>
      <c r="G12" s="28"/>
      <c r="H12" s="29">
        <f t="shared" si="1"/>
        <v>0</v>
      </c>
      <c r="I12" s="30"/>
      <c r="J12" s="30"/>
    </row>
    <row r="13" spans="1:10" x14ac:dyDescent="0.2">
      <c r="A13" s="31">
        <v>45570</v>
      </c>
      <c r="B13" s="31" t="s">
        <v>21</v>
      </c>
      <c r="C13" s="32"/>
      <c r="D13" s="32"/>
      <c r="E13" s="32"/>
      <c r="F13" s="32"/>
      <c r="G13" s="33"/>
      <c r="H13" s="34">
        <f t="shared" si="1"/>
        <v>0</v>
      </c>
      <c r="I13" s="35"/>
      <c r="J13" s="35"/>
    </row>
    <row r="14" spans="1:10" x14ac:dyDescent="0.2">
      <c r="A14" s="31">
        <v>45571</v>
      </c>
      <c r="B14" s="31" t="s">
        <v>22</v>
      </c>
      <c r="C14" s="32"/>
      <c r="D14" s="32"/>
      <c r="E14" s="32"/>
      <c r="F14" s="32"/>
      <c r="G14" s="33"/>
      <c r="H14" s="34">
        <f t="shared" si="1"/>
        <v>0</v>
      </c>
      <c r="I14" s="35"/>
      <c r="J14" s="35"/>
    </row>
    <row r="15" spans="1:10" x14ac:dyDescent="0.2">
      <c r="A15" s="22">
        <v>45572</v>
      </c>
      <c r="B15" s="22" t="s">
        <v>23</v>
      </c>
      <c r="C15" s="27"/>
      <c r="D15" s="27"/>
      <c r="E15" s="27"/>
      <c r="F15" s="27"/>
      <c r="G15" s="28"/>
      <c r="H15" s="29">
        <f t="shared" si="1"/>
        <v>0</v>
      </c>
      <c r="I15" s="30"/>
      <c r="J15" s="30"/>
    </row>
    <row r="16" spans="1:10" x14ac:dyDescent="0.2">
      <c r="A16" s="22">
        <v>45573</v>
      </c>
      <c r="B16" s="22" t="s">
        <v>13</v>
      </c>
      <c r="C16" s="27"/>
      <c r="D16" s="27"/>
      <c r="E16" s="27"/>
      <c r="F16" s="27"/>
      <c r="G16" s="28"/>
      <c r="H16" s="29">
        <f t="shared" si="1"/>
        <v>0</v>
      </c>
      <c r="I16" s="30"/>
      <c r="J16" s="30"/>
    </row>
    <row r="17" spans="1:10" x14ac:dyDescent="0.2">
      <c r="A17" s="22">
        <v>45574</v>
      </c>
      <c r="B17" s="22" t="s">
        <v>18</v>
      </c>
      <c r="C17" s="27"/>
      <c r="D17" s="27"/>
      <c r="E17" s="27"/>
      <c r="F17" s="27"/>
      <c r="G17" s="28"/>
      <c r="H17" s="29">
        <f t="shared" si="1"/>
        <v>0</v>
      </c>
      <c r="I17" s="30"/>
      <c r="J17" s="30"/>
    </row>
    <row r="18" spans="1:10" x14ac:dyDescent="0.2">
      <c r="A18" s="22">
        <v>45575</v>
      </c>
      <c r="B18" s="22" t="s">
        <v>19</v>
      </c>
      <c r="C18" s="27"/>
      <c r="D18" s="27"/>
      <c r="E18" s="27"/>
      <c r="F18" s="27"/>
      <c r="G18" s="28"/>
      <c r="H18" s="29">
        <f t="shared" si="1"/>
        <v>0</v>
      </c>
      <c r="I18" s="30"/>
      <c r="J18" s="30"/>
    </row>
    <row r="19" spans="1:10" x14ac:dyDescent="0.2">
      <c r="A19" s="22">
        <v>45576</v>
      </c>
      <c r="B19" s="22" t="s">
        <v>20</v>
      </c>
      <c r="C19" s="27"/>
      <c r="D19" s="27"/>
      <c r="E19" s="27"/>
      <c r="F19" s="27"/>
      <c r="G19" s="28"/>
      <c r="H19" s="29">
        <f t="shared" si="1"/>
        <v>0</v>
      </c>
      <c r="I19" s="30"/>
      <c r="J19" s="30"/>
    </row>
    <row r="20" spans="1:10" x14ac:dyDescent="0.2">
      <c r="A20" s="31">
        <v>45577</v>
      </c>
      <c r="B20" s="31" t="s">
        <v>21</v>
      </c>
      <c r="C20" s="32"/>
      <c r="D20" s="32"/>
      <c r="E20" s="32"/>
      <c r="F20" s="32"/>
      <c r="G20" s="33"/>
      <c r="H20" s="34">
        <f t="shared" si="1"/>
        <v>0</v>
      </c>
      <c r="I20" s="35"/>
      <c r="J20" s="35"/>
    </row>
    <row r="21" spans="1:10" x14ac:dyDescent="0.2">
      <c r="A21" s="31">
        <v>45578</v>
      </c>
      <c r="B21" s="31" t="s">
        <v>22</v>
      </c>
      <c r="C21" s="32"/>
      <c r="D21" s="32"/>
      <c r="E21" s="32"/>
      <c r="F21" s="32"/>
      <c r="G21" s="33"/>
      <c r="H21" s="34">
        <f t="shared" si="1"/>
        <v>0</v>
      </c>
      <c r="I21" s="35"/>
      <c r="J21" s="35"/>
    </row>
    <row r="22" spans="1:10" x14ac:dyDescent="0.2">
      <c r="A22" s="22">
        <v>45579</v>
      </c>
      <c r="B22" s="22" t="s">
        <v>23</v>
      </c>
      <c r="C22" s="27"/>
      <c r="D22" s="27"/>
      <c r="E22" s="27"/>
      <c r="F22" s="27"/>
      <c r="G22" s="28"/>
      <c r="H22" s="29">
        <f t="shared" si="1"/>
        <v>0</v>
      </c>
      <c r="I22" s="30"/>
      <c r="J22" s="30"/>
    </row>
    <row r="23" spans="1:10" x14ac:dyDescent="0.2">
      <c r="A23" s="22">
        <v>45580</v>
      </c>
      <c r="B23" s="22" t="s">
        <v>13</v>
      </c>
      <c r="C23" s="27"/>
      <c r="D23" s="27"/>
      <c r="E23" s="27"/>
      <c r="F23" s="27"/>
      <c r="G23" s="28"/>
      <c r="H23" s="29">
        <f t="shared" si="1"/>
        <v>0</v>
      </c>
      <c r="I23" s="30"/>
      <c r="J23" s="30"/>
    </row>
    <row r="24" spans="1:10" x14ac:dyDescent="0.2">
      <c r="A24" s="22">
        <v>45581</v>
      </c>
      <c r="B24" s="22" t="s">
        <v>18</v>
      </c>
      <c r="C24" s="27"/>
      <c r="D24" s="27"/>
      <c r="E24" s="27"/>
      <c r="F24" s="27"/>
      <c r="G24" s="28"/>
      <c r="H24" s="29">
        <f t="shared" si="1"/>
        <v>0</v>
      </c>
      <c r="I24" s="30"/>
      <c r="J24" s="30"/>
    </row>
    <row r="25" spans="1:10" x14ac:dyDescent="0.2">
      <c r="A25" s="22">
        <v>45582</v>
      </c>
      <c r="B25" s="22" t="s">
        <v>19</v>
      </c>
      <c r="C25" s="27"/>
      <c r="D25" s="27"/>
      <c r="E25" s="27"/>
      <c r="F25" s="27"/>
      <c r="G25" s="28"/>
      <c r="H25" s="29">
        <f t="shared" si="1"/>
        <v>0</v>
      </c>
      <c r="I25" s="30"/>
      <c r="J25" s="30"/>
    </row>
    <row r="26" spans="1:10" x14ac:dyDescent="0.2">
      <c r="A26" s="22">
        <v>45583</v>
      </c>
      <c r="B26" s="22" t="s">
        <v>20</v>
      </c>
      <c r="C26" s="27"/>
      <c r="D26" s="27"/>
      <c r="E26" s="27"/>
      <c r="F26" s="27"/>
      <c r="G26" s="28"/>
      <c r="H26" s="29">
        <f t="shared" si="1"/>
        <v>0</v>
      </c>
      <c r="I26" s="30"/>
      <c r="J26" s="30"/>
    </row>
    <row r="27" spans="1:10" x14ac:dyDescent="0.2">
      <c r="A27" s="31">
        <v>45584</v>
      </c>
      <c r="B27" s="31" t="s">
        <v>21</v>
      </c>
      <c r="C27" s="32"/>
      <c r="D27" s="32"/>
      <c r="E27" s="32"/>
      <c r="F27" s="32"/>
      <c r="G27" s="33"/>
      <c r="H27" s="34">
        <f t="shared" si="1"/>
        <v>0</v>
      </c>
      <c r="I27" s="35"/>
      <c r="J27" s="35"/>
    </row>
    <row r="28" spans="1:10" x14ac:dyDescent="0.2">
      <c r="A28" s="31">
        <v>45585</v>
      </c>
      <c r="B28" s="31" t="s">
        <v>22</v>
      </c>
      <c r="C28" s="32"/>
      <c r="D28" s="32"/>
      <c r="E28" s="32"/>
      <c r="F28" s="32"/>
      <c r="G28" s="33"/>
      <c r="H28" s="34">
        <f t="shared" si="1"/>
        <v>0</v>
      </c>
      <c r="I28" s="35"/>
      <c r="J28" s="35"/>
    </row>
    <row r="29" spans="1:10" x14ac:dyDescent="0.2">
      <c r="A29" s="22">
        <v>45586</v>
      </c>
      <c r="B29" s="22" t="s">
        <v>23</v>
      </c>
      <c r="C29" s="27"/>
      <c r="D29" s="27"/>
      <c r="E29" s="27"/>
      <c r="F29" s="27"/>
      <c r="G29" s="28"/>
      <c r="H29" s="29">
        <f t="shared" si="1"/>
        <v>0</v>
      </c>
      <c r="I29" s="30"/>
      <c r="J29" s="30"/>
    </row>
    <row r="30" spans="1:10" x14ac:dyDescent="0.2">
      <c r="A30" s="22">
        <v>45587</v>
      </c>
      <c r="B30" s="22" t="s">
        <v>13</v>
      </c>
      <c r="C30" s="27"/>
      <c r="D30" s="27"/>
      <c r="E30" s="27"/>
      <c r="F30" s="27"/>
      <c r="G30" s="28"/>
      <c r="H30" s="29">
        <f t="shared" si="1"/>
        <v>0</v>
      </c>
      <c r="I30" s="30"/>
      <c r="J30" s="30"/>
    </row>
    <row r="31" spans="1:10" x14ac:dyDescent="0.2">
      <c r="A31" s="22">
        <v>45588</v>
      </c>
      <c r="B31" s="22" t="s">
        <v>18</v>
      </c>
      <c r="C31" s="27"/>
      <c r="D31" s="27"/>
      <c r="E31" s="27"/>
      <c r="F31" s="27"/>
      <c r="G31" s="28"/>
      <c r="H31" s="29">
        <f t="shared" si="1"/>
        <v>0</v>
      </c>
      <c r="I31" s="30"/>
      <c r="J31" s="30"/>
    </row>
    <row r="32" spans="1:10" x14ac:dyDescent="0.2">
      <c r="A32" s="22">
        <v>45589</v>
      </c>
      <c r="B32" s="22" t="s">
        <v>19</v>
      </c>
      <c r="C32" s="27"/>
      <c r="D32" s="27"/>
      <c r="E32" s="27"/>
      <c r="F32" s="27"/>
      <c r="G32" s="28"/>
      <c r="H32" s="29">
        <f t="shared" si="1"/>
        <v>0</v>
      </c>
      <c r="I32" s="30"/>
      <c r="J32" s="30"/>
    </row>
    <row r="33" spans="1:10" x14ac:dyDescent="0.2">
      <c r="A33" s="22">
        <v>45590</v>
      </c>
      <c r="B33" s="22" t="s">
        <v>20</v>
      </c>
      <c r="C33" s="27"/>
      <c r="D33" s="27"/>
      <c r="E33" s="27"/>
      <c r="F33" s="27"/>
      <c r="G33" s="28"/>
      <c r="H33" s="29">
        <f t="shared" si="1"/>
        <v>0</v>
      </c>
      <c r="I33" s="30"/>
      <c r="J33" s="30"/>
    </row>
    <row r="34" spans="1:10" x14ac:dyDescent="0.2">
      <c r="A34" s="31">
        <v>45591</v>
      </c>
      <c r="B34" s="31" t="s">
        <v>21</v>
      </c>
      <c r="C34" s="32"/>
      <c r="D34" s="32"/>
      <c r="E34" s="32"/>
      <c r="F34" s="32"/>
      <c r="G34" s="33"/>
      <c r="H34" s="34">
        <f t="shared" si="1"/>
        <v>0</v>
      </c>
      <c r="I34" s="35"/>
      <c r="J34" s="35"/>
    </row>
    <row r="35" spans="1:10" x14ac:dyDescent="0.2">
      <c r="A35" s="31">
        <v>45592</v>
      </c>
      <c r="B35" s="31" t="s">
        <v>22</v>
      </c>
      <c r="C35" s="32"/>
      <c r="D35" s="32"/>
      <c r="E35" s="32"/>
      <c r="F35" s="32"/>
      <c r="G35" s="33"/>
      <c r="H35" s="34">
        <f t="shared" si="1"/>
        <v>0</v>
      </c>
      <c r="I35" s="35"/>
      <c r="J35" s="35"/>
    </row>
    <row r="36" spans="1:10" x14ac:dyDescent="0.2">
      <c r="A36" s="22">
        <v>45593</v>
      </c>
      <c r="B36" s="22" t="s">
        <v>23</v>
      </c>
      <c r="C36" s="27"/>
      <c r="D36" s="27"/>
      <c r="E36" s="27"/>
      <c r="F36" s="27"/>
      <c r="G36" s="28"/>
      <c r="H36" s="29">
        <f t="shared" si="1"/>
        <v>0</v>
      </c>
      <c r="I36" s="30"/>
      <c r="J36" s="30"/>
    </row>
    <row r="37" spans="1:10" x14ac:dyDescent="0.2">
      <c r="A37" s="22">
        <v>45594</v>
      </c>
      <c r="B37" s="22" t="s">
        <v>13</v>
      </c>
      <c r="C37" s="27"/>
      <c r="D37" s="27"/>
      <c r="E37" s="27"/>
      <c r="F37" s="27"/>
      <c r="G37" s="28"/>
      <c r="H37" s="29">
        <f t="shared" si="1"/>
        <v>0</v>
      </c>
      <c r="I37" s="30"/>
      <c r="J37" s="30"/>
    </row>
    <row r="38" spans="1:10" x14ac:dyDescent="0.2">
      <c r="A38" s="22">
        <v>45595</v>
      </c>
      <c r="B38" s="22" t="s">
        <v>18</v>
      </c>
      <c r="C38" s="27"/>
      <c r="D38" s="27"/>
      <c r="E38" s="27"/>
      <c r="F38" s="27"/>
      <c r="G38" s="28"/>
      <c r="H38" s="29">
        <f t="shared" si="1"/>
        <v>0</v>
      </c>
      <c r="I38" s="30"/>
      <c r="J38" s="30"/>
    </row>
    <row r="39" spans="1:10" ht="14.1" customHeight="1" x14ac:dyDescent="0.2">
      <c r="A39" s="22">
        <v>45596</v>
      </c>
      <c r="B39" s="22" t="s">
        <v>19</v>
      </c>
      <c r="C39" s="27"/>
      <c r="D39" s="27"/>
      <c r="E39" s="27"/>
      <c r="F39" s="27"/>
      <c r="G39" s="28"/>
      <c r="H39" s="29">
        <f t="shared" si="1"/>
        <v>0</v>
      </c>
      <c r="I39" s="30"/>
      <c r="J39" s="30"/>
    </row>
    <row r="40" spans="1:10" ht="14.1" customHeight="1" thickBot="1" x14ac:dyDescent="0.25">
      <c r="A40" s="46"/>
      <c r="B40" s="46"/>
      <c r="G40" s="40"/>
      <c r="H40" s="73"/>
      <c r="I40" s="74"/>
      <c r="J40" s="74"/>
    </row>
    <row r="41" spans="1:10" ht="14.1" customHeight="1" x14ac:dyDescent="0.25">
      <c r="A41" s="4"/>
      <c r="B41" s="4"/>
      <c r="C41" s="5"/>
      <c r="D41" s="6"/>
      <c r="E41" s="7" t="s">
        <v>24</v>
      </c>
      <c r="F41" s="8">
        <f>F42*8</f>
        <v>184</v>
      </c>
      <c r="H41" s="40"/>
    </row>
    <row r="42" spans="1:10" ht="14.1" customHeight="1" thickBot="1" x14ac:dyDescent="0.3">
      <c r="A42" s="4"/>
      <c r="B42" s="4"/>
      <c r="C42" s="9"/>
      <c r="D42" s="2"/>
      <c r="E42" s="10" t="s">
        <v>25</v>
      </c>
      <c r="F42" s="11">
        <v>23</v>
      </c>
      <c r="H42" s="40"/>
    </row>
    <row r="43" spans="1:10" ht="14.1" customHeight="1" thickBot="1" x14ac:dyDescent="0.3">
      <c r="A43" s="143" t="s">
        <v>26</v>
      </c>
      <c r="B43" s="143"/>
      <c r="C43" s="143"/>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44" t="s">
        <v>28</v>
      </c>
      <c r="B45" s="144"/>
      <c r="C45" s="144"/>
      <c r="D45" s="16"/>
      <c r="E45" s="17" t="s">
        <v>29</v>
      </c>
      <c r="F45" s="18">
        <f>SUMIF(F9:F39,"Non-Billable",H9:H39)</f>
        <v>0</v>
      </c>
      <c r="H45" s="40"/>
    </row>
    <row r="46" spans="1:10" ht="14.4" thickBot="1" x14ac:dyDescent="0.3">
      <c r="A46" s="2"/>
      <c r="B46" s="2"/>
      <c r="C46" s="2"/>
      <c r="D46" s="2"/>
      <c r="E46" s="19" t="s">
        <v>30</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Key!$H$3:$H$62</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E9" sqref="E9"/>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F43</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45597</v>
      </c>
      <c r="B9" s="22" t="s">
        <v>20</v>
      </c>
      <c r="C9" s="27" t="s">
        <v>14</v>
      </c>
      <c r="D9" s="27" t="s">
        <v>1</v>
      </c>
      <c r="E9" s="27" t="s">
        <v>15</v>
      </c>
      <c r="F9" s="27" t="s">
        <v>16</v>
      </c>
      <c r="G9" s="28" t="s">
        <v>17</v>
      </c>
      <c r="H9" s="29">
        <f t="shared" ref="H9:H38" si="0">J9-I9</f>
        <v>0.33333333333333331</v>
      </c>
      <c r="I9" s="30">
        <v>0.33333333333333331</v>
      </c>
      <c r="J9" s="30">
        <v>0.66666666666666663</v>
      </c>
    </row>
    <row r="10" spans="1:10" x14ac:dyDescent="0.2">
      <c r="A10" s="31">
        <v>45598</v>
      </c>
      <c r="B10" s="31" t="s">
        <v>21</v>
      </c>
      <c r="C10" s="32"/>
      <c r="D10" s="32"/>
      <c r="E10" s="32"/>
      <c r="F10" s="32"/>
      <c r="G10" s="33"/>
      <c r="H10" s="34">
        <f t="shared" si="0"/>
        <v>0</v>
      </c>
      <c r="I10" s="35"/>
      <c r="J10" s="35"/>
    </row>
    <row r="11" spans="1:10" x14ac:dyDescent="0.2">
      <c r="A11" s="31">
        <v>45599</v>
      </c>
      <c r="B11" s="31" t="s">
        <v>22</v>
      </c>
      <c r="C11" s="32"/>
      <c r="D11" s="32"/>
      <c r="E11" s="32"/>
      <c r="F11" s="32"/>
      <c r="G11" s="33"/>
      <c r="H11" s="34">
        <f>J11-I11</f>
        <v>0</v>
      </c>
      <c r="I11" s="35"/>
      <c r="J11" s="35"/>
    </row>
    <row r="12" spans="1:10" x14ac:dyDescent="0.2">
      <c r="A12" s="22">
        <v>45600</v>
      </c>
      <c r="B12" s="22" t="s">
        <v>23</v>
      </c>
      <c r="C12" s="27"/>
      <c r="D12" s="27"/>
      <c r="E12" s="27"/>
      <c r="F12" s="27"/>
      <c r="G12" s="28"/>
      <c r="H12" s="29">
        <f t="shared" si="0"/>
        <v>0</v>
      </c>
      <c r="I12" s="30"/>
      <c r="J12" s="30"/>
    </row>
    <row r="13" spans="1:10" x14ac:dyDescent="0.2">
      <c r="A13" s="22">
        <v>45601</v>
      </c>
      <c r="B13" s="22" t="s">
        <v>13</v>
      </c>
      <c r="C13" s="27"/>
      <c r="D13" s="27"/>
      <c r="E13" s="27"/>
      <c r="F13" s="27"/>
      <c r="G13" s="28"/>
      <c r="H13" s="29">
        <f t="shared" si="0"/>
        <v>0</v>
      </c>
      <c r="I13" s="30"/>
      <c r="J13" s="30"/>
    </row>
    <row r="14" spans="1:10" x14ac:dyDescent="0.2">
      <c r="A14" s="22">
        <v>45602</v>
      </c>
      <c r="B14" s="22" t="s">
        <v>18</v>
      </c>
      <c r="C14" s="27"/>
      <c r="D14" s="27"/>
      <c r="E14" s="27"/>
      <c r="F14" s="27"/>
      <c r="G14" s="28"/>
      <c r="H14" s="29">
        <f t="shared" si="0"/>
        <v>0</v>
      </c>
      <c r="I14" s="30"/>
      <c r="J14" s="30"/>
    </row>
    <row r="15" spans="1:10" x14ac:dyDescent="0.2">
      <c r="A15" s="22">
        <v>45603</v>
      </c>
      <c r="B15" s="22" t="s">
        <v>19</v>
      </c>
      <c r="C15" s="27"/>
      <c r="D15" s="27"/>
      <c r="E15" s="27"/>
      <c r="F15" s="27"/>
      <c r="G15" s="28"/>
      <c r="H15" s="29">
        <f>J15-I15</f>
        <v>0</v>
      </c>
      <c r="I15" s="30"/>
      <c r="J15" s="30"/>
    </row>
    <row r="16" spans="1:10" x14ac:dyDescent="0.2">
      <c r="A16" s="22">
        <v>45604</v>
      </c>
      <c r="B16" s="22" t="s">
        <v>20</v>
      </c>
      <c r="C16" s="27"/>
      <c r="D16" s="27"/>
      <c r="E16" s="27"/>
      <c r="F16" s="27"/>
      <c r="G16" s="28"/>
      <c r="H16" s="29">
        <f t="shared" si="0"/>
        <v>0</v>
      </c>
      <c r="I16" s="30"/>
      <c r="J16" s="30"/>
    </row>
    <row r="17" spans="1:10" x14ac:dyDescent="0.2">
      <c r="A17" s="31">
        <v>45605</v>
      </c>
      <c r="B17" s="31" t="s">
        <v>21</v>
      </c>
      <c r="C17" s="32"/>
      <c r="D17" s="32"/>
      <c r="E17" s="32"/>
      <c r="F17" s="32"/>
      <c r="G17" s="33"/>
      <c r="H17" s="34">
        <f t="shared" si="0"/>
        <v>0</v>
      </c>
      <c r="I17" s="35"/>
      <c r="J17" s="35"/>
    </row>
    <row r="18" spans="1:10" x14ac:dyDescent="0.2">
      <c r="A18" s="31">
        <v>45606</v>
      </c>
      <c r="B18" s="31" t="s">
        <v>22</v>
      </c>
      <c r="C18" s="32"/>
      <c r="D18" s="32"/>
      <c r="E18" s="32"/>
      <c r="F18" s="32"/>
      <c r="G18" s="33"/>
      <c r="H18" s="34">
        <f t="shared" si="0"/>
        <v>0</v>
      </c>
      <c r="I18" s="35"/>
      <c r="J18" s="35"/>
    </row>
    <row r="19" spans="1:10" x14ac:dyDescent="0.2">
      <c r="A19" s="22">
        <v>45607</v>
      </c>
      <c r="B19" s="22" t="s">
        <v>23</v>
      </c>
      <c r="C19" s="27"/>
      <c r="D19" s="27"/>
      <c r="E19" s="27"/>
      <c r="F19" s="27"/>
      <c r="G19" s="28"/>
      <c r="H19" s="29">
        <f t="shared" si="0"/>
        <v>0</v>
      </c>
      <c r="I19" s="30"/>
      <c r="J19" s="30"/>
    </row>
    <row r="20" spans="1:10" x14ac:dyDescent="0.2">
      <c r="A20" s="22">
        <v>45608</v>
      </c>
      <c r="B20" s="22" t="s">
        <v>13</v>
      </c>
      <c r="C20" s="27"/>
      <c r="D20" s="27"/>
      <c r="E20" s="27"/>
      <c r="F20" s="27"/>
      <c r="G20" s="28"/>
      <c r="H20" s="29">
        <f t="shared" si="0"/>
        <v>0</v>
      </c>
      <c r="I20" s="30"/>
      <c r="J20" s="30"/>
    </row>
    <row r="21" spans="1:10" x14ac:dyDescent="0.2">
      <c r="A21" s="22">
        <v>45609</v>
      </c>
      <c r="B21" s="22" t="s">
        <v>18</v>
      </c>
      <c r="C21" s="27"/>
      <c r="D21" s="27"/>
      <c r="E21" s="27"/>
      <c r="F21" s="27"/>
      <c r="G21" s="28"/>
      <c r="H21" s="29">
        <f t="shared" si="0"/>
        <v>0</v>
      </c>
      <c r="I21" s="30"/>
      <c r="J21" s="30"/>
    </row>
    <row r="22" spans="1:10" x14ac:dyDescent="0.2">
      <c r="A22" s="22">
        <v>45610</v>
      </c>
      <c r="B22" s="22" t="s">
        <v>19</v>
      </c>
      <c r="C22" s="27"/>
      <c r="D22" s="27"/>
      <c r="E22" s="27"/>
      <c r="F22" s="27"/>
      <c r="G22" s="28"/>
      <c r="H22" s="29">
        <f t="shared" si="0"/>
        <v>0</v>
      </c>
      <c r="I22" s="30"/>
      <c r="J22" s="30"/>
    </row>
    <row r="23" spans="1:10" x14ac:dyDescent="0.2">
      <c r="A23" s="22">
        <v>45611</v>
      </c>
      <c r="B23" s="22" t="s">
        <v>20</v>
      </c>
      <c r="C23" s="27"/>
      <c r="D23" s="27"/>
      <c r="E23" s="27"/>
      <c r="F23" s="27"/>
      <c r="G23" s="28"/>
      <c r="H23" s="29">
        <f t="shared" si="0"/>
        <v>0</v>
      </c>
      <c r="I23" s="30"/>
      <c r="J23" s="30"/>
    </row>
    <row r="24" spans="1:10" x14ac:dyDescent="0.2">
      <c r="A24" s="31">
        <v>45612</v>
      </c>
      <c r="B24" s="31" t="s">
        <v>21</v>
      </c>
      <c r="C24" s="32"/>
      <c r="D24" s="32"/>
      <c r="E24" s="32"/>
      <c r="F24" s="32"/>
      <c r="G24" s="33"/>
      <c r="H24" s="34">
        <f t="shared" si="0"/>
        <v>0</v>
      </c>
      <c r="I24" s="35"/>
      <c r="J24" s="35"/>
    </row>
    <row r="25" spans="1:10" x14ac:dyDescent="0.2">
      <c r="A25" s="31">
        <v>45613</v>
      </c>
      <c r="B25" s="31" t="s">
        <v>22</v>
      </c>
      <c r="C25" s="32"/>
      <c r="D25" s="32"/>
      <c r="E25" s="32"/>
      <c r="F25" s="32"/>
      <c r="G25" s="33"/>
      <c r="H25" s="34">
        <f t="shared" si="0"/>
        <v>0</v>
      </c>
      <c r="I25" s="35"/>
      <c r="J25" s="35"/>
    </row>
    <row r="26" spans="1:10" x14ac:dyDescent="0.2">
      <c r="A26" s="22">
        <v>45614</v>
      </c>
      <c r="B26" s="22" t="s">
        <v>23</v>
      </c>
      <c r="C26" s="27"/>
      <c r="D26" s="27"/>
      <c r="E26" s="27"/>
      <c r="F26" s="27"/>
      <c r="G26" s="28"/>
      <c r="H26" s="29">
        <f t="shared" si="0"/>
        <v>0</v>
      </c>
      <c r="I26" s="30"/>
      <c r="J26" s="30"/>
    </row>
    <row r="27" spans="1:10" x14ac:dyDescent="0.2">
      <c r="A27" s="22">
        <v>45615</v>
      </c>
      <c r="B27" s="22" t="s">
        <v>13</v>
      </c>
      <c r="C27" s="27"/>
      <c r="D27" s="27"/>
      <c r="E27" s="27"/>
      <c r="F27" s="27"/>
      <c r="G27" s="28"/>
      <c r="H27" s="29">
        <f t="shared" si="0"/>
        <v>0</v>
      </c>
      <c r="I27" s="30"/>
      <c r="J27" s="30"/>
    </row>
    <row r="28" spans="1:10" x14ac:dyDescent="0.2">
      <c r="A28" s="22">
        <v>45616</v>
      </c>
      <c r="B28" s="22" t="s">
        <v>18</v>
      </c>
      <c r="C28" s="27"/>
      <c r="D28" s="27"/>
      <c r="E28" s="27"/>
      <c r="F28" s="27"/>
      <c r="G28" s="28"/>
      <c r="H28" s="29">
        <f t="shared" si="0"/>
        <v>0</v>
      </c>
      <c r="I28" s="30"/>
      <c r="J28" s="30"/>
    </row>
    <row r="29" spans="1:10" x14ac:dyDescent="0.2">
      <c r="A29" s="22">
        <v>45617</v>
      </c>
      <c r="B29" s="22" t="s">
        <v>19</v>
      </c>
      <c r="C29" s="27"/>
      <c r="D29" s="27"/>
      <c r="E29" s="27"/>
      <c r="F29" s="27"/>
      <c r="G29" s="28"/>
      <c r="H29" s="29">
        <f t="shared" si="0"/>
        <v>0</v>
      </c>
      <c r="I29" s="30"/>
      <c r="J29" s="30"/>
    </row>
    <row r="30" spans="1:10" x14ac:dyDescent="0.2">
      <c r="A30" s="22">
        <v>45618</v>
      </c>
      <c r="B30" s="22" t="s">
        <v>20</v>
      </c>
      <c r="C30" s="27"/>
      <c r="D30" s="27"/>
      <c r="E30" s="27"/>
      <c r="F30" s="27"/>
      <c r="G30" s="28"/>
      <c r="H30" s="29">
        <f t="shared" si="0"/>
        <v>0</v>
      </c>
      <c r="I30" s="30"/>
      <c r="J30" s="30"/>
    </row>
    <row r="31" spans="1:10" x14ac:dyDescent="0.2">
      <c r="A31" s="31">
        <v>45619</v>
      </c>
      <c r="B31" s="31" t="s">
        <v>21</v>
      </c>
      <c r="C31" s="32"/>
      <c r="D31" s="32"/>
      <c r="E31" s="32"/>
      <c r="F31" s="32"/>
      <c r="G31" s="33"/>
      <c r="H31" s="34">
        <f t="shared" si="0"/>
        <v>0</v>
      </c>
      <c r="I31" s="35"/>
      <c r="J31" s="35"/>
    </row>
    <row r="32" spans="1:10" x14ac:dyDescent="0.2">
      <c r="A32" s="31">
        <v>45620</v>
      </c>
      <c r="B32" s="31" t="s">
        <v>22</v>
      </c>
      <c r="C32" s="32"/>
      <c r="D32" s="32"/>
      <c r="E32" s="32"/>
      <c r="F32" s="32"/>
      <c r="G32" s="33"/>
      <c r="H32" s="34">
        <f t="shared" si="0"/>
        <v>0</v>
      </c>
      <c r="I32" s="35"/>
      <c r="J32" s="35"/>
    </row>
    <row r="33" spans="1:10" x14ac:dyDescent="0.2">
      <c r="A33" s="22">
        <v>45621</v>
      </c>
      <c r="B33" s="22" t="s">
        <v>23</v>
      </c>
      <c r="C33" s="27"/>
      <c r="D33" s="27"/>
      <c r="E33" s="27"/>
      <c r="F33" s="27"/>
      <c r="G33" s="28"/>
      <c r="H33" s="29">
        <f t="shared" si="0"/>
        <v>0</v>
      </c>
      <c r="I33" s="30"/>
      <c r="J33" s="30"/>
    </row>
    <row r="34" spans="1:10" x14ac:dyDescent="0.2">
      <c r="A34" s="22">
        <v>45622</v>
      </c>
      <c r="B34" s="22" t="s">
        <v>13</v>
      </c>
      <c r="C34" s="27"/>
      <c r="D34" s="27"/>
      <c r="E34" s="27"/>
      <c r="F34" s="27"/>
      <c r="G34" s="28"/>
      <c r="H34" s="29">
        <f t="shared" si="0"/>
        <v>0</v>
      </c>
      <c r="I34" s="30"/>
      <c r="J34" s="30"/>
    </row>
    <row r="35" spans="1:10" x14ac:dyDescent="0.2">
      <c r="A35" s="22">
        <v>45623</v>
      </c>
      <c r="B35" s="22" t="s">
        <v>18</v>
      </c>
      <c r="C35" s="27"/>
      <c r="D35" s="27"/>
      <c r="E35" s="27"/>
      <c r="F35" s="27"/>
      <c r="G35" s="28"/>
      <c r="H35" s="29">
        <f t="shared" si="0"/>
        <v>0</v>
      </c>
      <c r="I35" s="30"/>
      <c r="J35" s="30"/>
    </row>
    <row r="36" spans="1:10" x14ac:dyDescent="0.2">
      <c r="A36" s="22">
        <v>45624</v>
      </c>
      <c r="B36" s="22" t="s">
        <v>19</v>
      </c>
      <c r="C36" s="27"/>
      <c r="D36" s="27"/>
      <c r="E36" s="27"/>
      <c r="F36" s="27"/>
      <c r="G36" s="28"/>
      <c r="H36" s="29">
        <f t="shared" si="0"/>
        <v>0</v>
      </c>
      <c r="I36" s="30"/>
      <c r="J36" s="30"/>
    </row>
    <row r="37" spans="1:10" x14ac:dyDescent="0.2">
      <c r="A37" s="22">
        <v>45625</v>
      </c>
      <c r="B37" s="22" t="s">
        <v>20</v>
      </c>
      <c r="C37" s="27"/>
      <c r="D37" s="27"/>
      <c r="E37" s="27"/>
      <c r="F37" s="27"/>
      <c r="G37" s="28"/>
      <c r="H37" s="29">
        <f t="shared" si="0"/>
        <v>0</v>
      </c>
      <c r="I37" s="30"/>
      <c r="J37" s="30"/>
    </row>
    <row r="38" spans="1:10" x14ac:dyDescent="0.2">
      <c r="A38" s="31">
        <v>45626</v>
      </c>
      <c r="B38" s="31" t="s">
        <v>21</v>
      </c>
      <c r="C38" s="32"/>
      <c r="D38" s="32"/>
      <c r="E38" s="32"/>
      <c r="F38" s="32"/>
      <c r="G38" s="33"/>
      <c r="H38" s="34">
        <f t="shared" si="0"/>
        <v>0</v>
      </c>
      <c r="I38" s="35"/>
      <c r="J38" s="35"/>
    </row>
    <row r="39" spans="1:10" ht="14.1" customHeight="1" thickBot="1" x14ac:dyDescent="0.3">
      <c r="A39" s="46"/>
      <c r="B39" s="45"/>
      <c r="C39" s="45"/>
      <c r="D39" s="45"/>
      <c r="E39" s="45"/>
      <c r="F39" s="45"/>
      <c r="G39" s="45"/>
      <c r="H39" s="36"/>
      <c r="I39" s="37"/>
    </row>
    <row r="40" spans="1:10" ht="14.1" customHeight="1" x14ac:dyDescent="0.25">
      <c r="A40" s="4"/>
      <c r="B40" s="4"/>
      <c r="C40" s="5"/>
      <c r="D40" s="6"/>
      <c r="E40" s="7" t="s">
        <v>24</v>
      </c>
      <c r="F40" s="8">
        <f>F41*8</f>
        <v>168</v>
      </c>
      <c r="H40" s="40"/>
    </row>
    <row r="41" spans="1:10" ht="14.1" customHeight="1" thickBot="1" x14ac:dyDescent="0.3">
      <c r="A41" s="4"/>
      <c r="B41" s="4"/>
      <c r="C41" s="9"/>
      <c r="D41" s="2"/>
      <c r="E41" s="10" t="s">
        <v>25</v>
      </c>
      <c r="F41" s="11">
        <v>21</v>
      </c>
      <c r="H41" s="40"/>
    </row>
    <row r="42" spans="1:10" ht="14.1" customHeight="1" thickBot="1" x14ac:dyDescent="0.3">
      <c r="A42" s="143" t="s">
        <v>26</v>
      </c>
      <c r="B42" s="143"/>
      <c r="C42" s="143"/>
      <c r="D42" s="12"/>
      <c r="E42" s="2"/>
      <c r="F42" s="2"/>
      <c r="H42" s="40"/>
    </row>
    <row r="43" spans="1:10" ht="13.8" x14ac:dyDescent="0.25">
      <c r="A43" s="13"/>
      <c r="B43" s="13"/>
      <c r="C43" s="6"/>
      <c r="D43" s="6"/>
      <c r="E43" s="14" t="s">
        <v>27</v>
      </c>
      <c r="F43" s="15">
        <f>SUMIF(F9:F38,"Billable",H9:H38)</f>
        <v>0.33333333333333331</v>
      </c>
      <c r="H43" s="38"/>
    </row>
    <row r="44" spans="1:10" ht="15" customHeight="1" thickBot="1" x14ac:dyDescent="0.3">
      <c r="A44" s="144" t="s">
        <v>28</v>
      </c>
      <c r="B44" s="144"/>
      <c r="C44" s="144"/>
      <c r="D44" s="16"/>
      <c r="E44" s="17" t="s">
        <v>29</v>
      </c>
      <c r="F44" s="18">
        <f>SUMIF(F9:F38,"Non-Billable",H9:H38)</f>
        <v>0</v>
      </c>
      <c r="H44" s="40"/>
    </row>
    <row r="45" spans="1:10" ht="14.4" thickBot="1" x14ac:dyDescent="0.3">
      <c r="A45" s="2"/>
      <c r="B45" s="2"/>
      <c r="C45" s="2"/>
      <c r="D45" s="2"/>
      <c r="E45" s="19" t="s">
        <v>30</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31</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E10" sqref="E10"/>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45627</v>
      </c>
      <c r="B9" s="31" t="s">
        <v>22</v>
      </c>
      <c r="C9" s="32"/>
      <c r="D9" s="32"/>
      <c r="E9" s="32"/>
      <c r="F9" s="32"/>
      <c r="G9" s="33"/>
      <c r="H9" s="34">
        <f>J9-I9</f>
        <v>0</v>
      </c>
      <c r="I9" s="35"/>
      <c r="J9" s="35"/>
    </row>
    <row r="10" spans="1:10" x14ac:dyDescent="0.2">
      <c r="A10" s="22">
        <v>45628</v>
      </c>
      <c r="B10" s="22" t="s">
        <v>23</v>
      </c>
      <c r="C10" s="27" t="s">
        <v>14</v>
      </c>
      <c r="D10" s="27" t="s">
        <v>1</v>
      </c>
      <c r="E10" s="27" t="s">
        <v>15</v>
      </c>
      <c r="F10" s="27" t="s">
        <v>16</v>
      </c>
      <c r="G10" s="28" t="s">
        <v>17</v>
      </c>
      <c r="H10" s="29">
        <f t="shared" ref="H10:H35" si="0">J10-I10</f>
        <v>0.33333333333333331</v>
      </c>
      <c r="I10" s="30">
        <v>0.33333333333333331</v>
      </c>
      <c r="J10" s="30">
        <v>0.66666666666666663</v>
      </c>
    </row>
    <row r="11" spans="1:10" x14ac:dyDescent="0.2">
      <c r="A11" s="22">
        <v>45629</v>
      </c>
      <c r="B11" s="22" t="s">
        <v>13</v>
      </c>
      <c r="C11" s="27"/>
      <c r="D11" s="27"/>
      <c r="E11" s="27"/>
      <c r="F11" s="27"/>
      <c r="G11" s="28"/>
      <c r="H11" s="29">
        <f t="shared" si="0"/>
        <v>0</v>
      </c>
      <c r="I11" s="30"/>
      <c r="J11" s="30"/>
    </row>
    <row r="12" spans="1:10" x14ac:dyDescent="0.2">
      <c r="A12" s="22">
        <v>45630</v>
      </c>
      <c r="B12" s="22" t="s">
        <v>18</v>
      </c>
      <c r="C12" s="27"/>
      <c r="D12" s="27"/>
      <c r="E12" s="27"/>
      <c r="F12" s="27"/>
      <c r="G12" s="28"/>
      <c r="H12" s="29">
        <f t="shared" si="0"/>
        <v>0</v>
      </c>
      <c r="I12" s="30"/>
      <c r="J12" s="30"/>
    </row>
    <row r="13" spans="1:10" x14ac:dyDescent="0.2">
      <c r="A13" s="22">
        <v>45631</v>
      </c>
      <c r="B13" s="22" t="s">
        <v>19</v>
      </c>
      <c r="C13" s="27"/>
      <c r="D13" s="27"/>
      <c r="E13" s="27"/>
      <c r="F13" s="27"/>
      <c r="G13" s="28"/>
      <c r="H13" s="29">
        <f t="shared" si="0"/>
        <v>0</v>
      </c>
      <c r="I13" s="30"/>
      <c r="J13" s="30"/>
    </row>
    <row r="14" spans="1:10" x14ac:dyDescent="0.2">
      <c r="A14" s="22">
        <v>45632</v>
      </c>
      <c r="B14" s="22" t="s">
        <v>20</v>
      </c>
      <c r="C14" s="27"/>
      <c r="D14" s="27"/>
      <c r="E14" s="27"/>
      <c r="F14" s="27"/>
      <c r="G14" s="28"/>
      <c r="H14" s="29">
        <f t="shared" si="0"/>
        <v>0</v>
      </c>
      <c r="I14" s="30"/>
      <c r="J14" s="30"/>
    </row>
    <row r="15" spans="1:10" x14ac:dyDescent="0.2">
      <c r="A15" s="31">
        <v>45633</v>
      </c>
      <c r="B15" s="31" t="s">
        <v>21</v>
      </c>
      <c r="C15" s="32"/>
      <c r="D15" s="32"/>
      <c r="E15" s="32"/>
      <c r="F15" s="32"/>
      <c r="G15" s="33"/>
      <c r="H15" s="34">
        <f t="shared" si="0"/>
        <v>0</v>
      </c>
      <c r="I15" s="35"/>
      <c r="J15" s="35"/>
    </row>
    <row r="16" spans="1:10" x14ac:dyDescent="0.2">
      <c r="A16" s="31">
        <v>45634</v>
      </c>
      <c r="B16" s="31" t="s">
        <v>22</v>
      </c>
      <c r="C16" s="32"/>
      <c r="D16" s="32"/>
      <c r="E16" s="32"/>
      <c r="F16" s="32"/>
      <c r="G16" s="33"/>
      <c r="H16" s="34">
        <f t="shared" si="0"/>
        <v>0</v>
      </c>
      <c r="I16" s="35"/>
      <c r="J16" s="35"/>
    </row>
    <row r="17" spans="1:10" x14ac:dyDescent="0.2">
      <c r="A17" s="22">
        <v>45635</v>
      </c>
      <c r="B17" s="22" t="s">
        <v>23</v>
      </c>
      <c r="C17" s="27"/>
      <c r="D17" s="27"/>
      <c r="E17" s="27"/>
      <c r="F17" s="27"/>
      <c r="G17" s="28"/>
      <c r="H17" s="29">
        <f t="shared" si="0"/>
        <v>0</v>
      </c>
      <c r="I17" s="30"/>
      <c r="J17" s="30"/>
    </row>
    <row r="18" spans="1:10" x14ac:dyDescent="0.2">
      <c r="A18" s="22">
        <v>45636</v>
      </c>
      <c r="B18" s="22" t="s">
        <v>13</v>
      </c>
      <c r="C18" s="27"/>
      <c r="D18" s="27"/>
      <c r="E18" s="27"/>
      <c r="F18" s="27"/>
      <c r="G18" s="28"/>
      <c r="H18" s="29">
        <f t="shared" si="0"/>
        <v>0</v>
      </c>
      <c r="I18" s="30"/>
      <c r="J18" s="30"/>
    </row>
    <row r="19" spans="1:10" x14ac:dyDescent="0.2">
      <c r="A19" s="22">
        <v>45637</v>
      </c>
      <c r="B19" s="22" t="s">
        <v>18</v>
      </c>
      <c r="C19" s="27"/>
      <c r="D19" s="27"/>
      <c r="E19" s="27"/>
      <c r="F19" s="27"/>
      <c r="G19" s="28"/>
      <c r="H19" s="29">
        <f t="shared" si="0"/>
        <v>0</v>
      </c>
      <c r="I19" s="30"/>
      <c r="J19" s="30"/>
    </row>
    <row r="20" spans="1:10" x14ac:dyDescent="0.2">
      <c r="A20" s="22">
        <v>45638</v>
      </c>
      <c r="B20" s="22" t="s">
        <v>19</v>
      </c>
      <c r="C20" s="27"/>
      <c r="D20" s="27"/>
      <c r="E20" s="27"/>
      <c r="F20" s="27"/>
      <c r="G20" s="28"/>
      <c r="H20" s="29">
        <f t="shared" si="0"/>
        <v>0</v>
      </c>
      <c r="I20" s="30"/>
      <c r="J20" s="30"/>
    </row>
    <row r="21" spans="1:10" x14ac:dyDescent="0.2">
      <c r="A21" s="22">
        <v>45639</v>
      </c>
      <c r="B21" s="22" t="s">
        <v>20</v>
      </c>
      <c r="C21" s="27"/>
      <c r="D21" s="27"/>
      <c r="E21" s="27"/>
      <c r="F21" s="27"/>
      <c r="G21" s="28"/>
      <c r="H21" s="29">
        <f t="shared" si="0"/>
        <v>0</v>
      </c>
      <c r="I21" s="30"/>
      <c r="J21" s="30"/>
    </row>
    <row r="22" spans="1:10" x14ac:dyDescent="0.2">
      <c r="A22" s="31">
        <v>45640</v>
      </c>
      <c r="B22" s="31" t="s">
        <v>21</v>
      </c>
      <c r="C22" s="32"/>
      <c r="D22" s="32"/>
      <c r="E22" s="32"/>
      <c r="F22" s="32"/>
      <c r="G22" s="33"/>
      <c r="H22" s="34">
        <f t="shared" si="0"/>
        <v>0</v>
      </c>
      <c r="I22" s="35"/>
      <c r="J22" s="35"/>
    </row>
    <row r="23" spans="1:10" x14ac:dyDescent="0.2">
      <c r="A23" s="31">
        <v>45641</v>
      </c>
      <c r="B23" s="31" t="s">
        <v>22</v>
      </c>
      <c r="C23" s="32"/>
      <c r="D23" s="32"/>
      <c r="E23" s="32"/>
      <c r="F23" s="32"/>
      <c r="G23" s="33"/>
      <c r="H23" s="34">
        <f t="shared" si="0"/>
        <v>0</v>
      </c>
      <c r="I23" s="35"/>
      <c r="J23" s="35"/>
    </row>
    <row r="24" spans="1:10" x14ac:dyDescent="0.2">
      <c r="A24" s="47">
        <v>45642</v>
      </c>
      <c r="B24" s="47" t="s">
        <v>23</v>
      </c>
      <c r="C24" s="48" t="s">
        <v>14</v>
      </c>
      <c r="D24" s="48"/>
      <c r="E24" s="48" t="s">
        <v>32</v>
      </c>
      <c r="F24" s="48" t="s">
        <v>33</v>
      </c>
      <c r="G24" s="49" t="s">
        <v>34</v>
      </c>
      <c r="H24" s="50">
        <f t="shared" si="0"/>
        <v>0.33333333333333331</v>
      </c>
      <c r="I24" s="51">
        <v>0.33333333333333331</v>
      </c>
      <c r="J24" s="51">
        <v>0.66666666666666663</v>
      </c>
    </row>
    <row r="25" spans="1:10" x14ac:dyDescent="0.2">
      <c r="A25" s="22">
        <v>45643</v>
      </c>
      <c r="B25" s="22" t="s">
        <v>13</v>
      </c>
      <c r="C25" s="27"/>
      <c r="D25" s="27"/>
      <c r="E25" s="27"/>
      <c r="F25" s="27"/>
      <c r="G25" s="28"/>
      <c r="H25" s="29">
        <f t="shared" si="0"/>
        <v>0</v>
      </c>
      <c r="I25" s="30"/>
      <c r="J25" s="30"/>
    </row>
    <row r="26" spans="1:10" x14ac:dyDescent="0.2">
      <c r="A26" s="22">
        <v>45644</v>
      </c>
      <c r="B26" s="22" t="s">
        <v>18</v>
      </c>
      <c r="C26" s="27"/>
      <c r="D26" s="27"/>
      <c r="E26" s="27"/>
      <c r="F26" s="27"/>
      <c r="G26" s="28"/>
      <c r="H26" s="29">
        <f t="shared" si="0"/>
        <v>0</v>
      </c>
      <c r="I26" s="30"/>
      <c r="J26" s="30"/>
    </row>
    <row r="27" spans="1:10" x14ac:dyDescent="0.2">
      <c r="A27" s="22">
        <v>45645</v>
      </c>
      <c r="B27" s="22" t="s">
        <v>19</v>
      </c>
      <c r="C27" s="27"/>
      <c r="D27" s="27"/>
      <c r="E27" s="27"/>
      <c r="F27" s="27"/>
      <c r="G27" s="28"/>
      <c r="H27" s="29">
        <f t="shared" si="0"/>
        <v>0</v>
      </c>
      <c r="I27" s="30"/>
      <c r="J27" s="30"/>
    </row>
    <row r="28" spans="1:10" x14ac:dyDescent="0.2">
      <c r="A28" s="22">
        <v>45646</v>
      </c>
      <c r="B28" s="22" t="s">
        <v>20</v>
      </c>
      <c r="C28" s="27"/>
      <c r="D28" s="27"/>
      <c r="E28" s="27"/>
      <c r="F28" s="27"/>
      <c r="G28" s="28"/>
      <c r="H28" s="29">
        <f t="shared" si="0"/>
        <v>0</v>
      </c>
      <c r="I28" s="30"/>
      <c r="J28" s="30"/>
    </row>
    <row r="29" spans="1:10" x14ac:dyDescent="0.2">
      <c r="A29" s="31">
        <v>45647</v>
      </c>
      <c r="B29" s="31" t="s">
        <v>21</v>
      </c>
      <c r="C29" s="32"/>
      <c r="D29" s="32"/>
      <c r="E29" s="32"/>
      <c r="F29" s="32"/>
      <c r="G29" s="33"/>
      <c r="H29" s="34">
        <f t="shared" si="0"/>
        <v>0</v>
      </c>
      <c r="I29" s="35"/>
      <c r="J29" s="35"/>
    </row>
    <row r="30" spans="1:10" x14ac:dyDescent="0.2">
      <c r="A30" s="31">
        <v>45648</v>
      </c>
      <c r="B30" s="31" t="s">
        <v>22</v>
      </c>
      <c r="C30" s="32"/>
      <c r="D30" s="32"/>
      <c r="E30" s="32"/>
      <c r="F30" s="32"/>
      <c r="G30" s="33"/>
      <c r="H30" s="34">
        <f t="shared" si="0"/>
        <v>0</v>
      </c>
      <c r="I30" s="35"/>
      <c r="J30" s="35"/>
    </row>
    <row r="31" spans="1:10" x14ac:dyDescent="0.2">
      <c r="A31" s="22">
        <v>45649</v>
      </c>
      <c r="B31" s="22" t="s">
        <v>23</v>
      </c>
      <c r="C31" s="27"/>
      <c r="D31" s="27"/>
      <c r="E31" s="27"/>
      <c r="F31" s="27"/>
      <c r="G31" s="28"/>
      <c r="H31" s="29">
        <f t="shared" si="0"/>
        <v>0</v>
      </c>
      <c r="I31" s="30"/>
      <c r="J31" s="30"/>
    </row>
    <row r="32" spans="1:10" x14ac:dyDescent="0.2">
      <c r="A32" s="22">
        <v>45650</v>
      </c>
      <c r="B32" s="22" t="s">
        <v>13</v>
      </c>
      <c r="C32" s="27"/>
      <c r="D32" s="27"/>
      <c r="E32" s="27"/>
      <c r="F32" s="27"/>
      <c r="G32" s="28"/>
      <c r="H32" s="29">
        <f t="shared" ref="H32" si="1">J32-I32</f>
        <v>0</v>
      </c>
      <c r="I32" s="30"/>
      <c r="J32" s="30"/>
    </row>
    <row r="33" spans="1:10" x14ac:dyDescent="0.2">
      <c r="A33" s="47">
        <v>45651</v>
      </c>
      <c r="B33" s="47" t="s">
        <v>18</v>
      </c>
      <c r="C33" s="48" t="s">
        <v>14</v>
      </c>
      <c r="D33" s="48"/>
      <c r="E33" s="48" t="s">
        <v>32</v>
      </c>
      <c r="F33" s="48" t="s">
        <v>33</v>
      </c>
      <c r="G33" s="49" t="s">
        <v>35</v>
      </c>
      <c r="H33" s="50">
        <f t="shared" si="0"/>
        <v>0.33333333333333331</v>
      </c>
      <c r="I33" s="51">
        <v>0.33333333333333331</v>
      </c>
      <c r="J33" s="51">
        <v>0.66666666666666663</v>
      </c>
    </row>
    <row r="34" spans="1:10" x14ac:dyDescent="0.2">
      <c r="A34" s="47">
        <v>45652</v>
      </c>
      <c r="B34" s="47" t="s">
        <v>19</v>
      </c>
      <c r="C34" s="48" t="s">
        <v>14</v>
      </c>
      <c r="D34" s="48"/>
      <c r="E34" s="48" t="s">
        <v>32</v>
      </c>
      <c r="F34" s="48" t="s">
        <v>33</v>
      </c>
      <c r="G34" s="49" t="s">
        <v>36</v>
      </c>
      <c r="H34" s="50">
        <f t="shared" si="0"/>
        <v>0.33333333333333331</v>
      </c>
      <c r="I34" s="51">
        <v>0.33333333333333331</v>
      </c>
      <c r="J34" s="51">
        <v>0.66666666666666663</v>
      </c>
    </row>
    <row r="35" spans="1:10" x14ac:dyDescent="0.2">
      <c r="A35" s="22">
        <v>45653</v>
      </c>
      <c r="B35" s="22" t="s">
        <v>20</v>
      </c>
      <c r="C35" s="27"/>
      <c r="D35" s="27"/>
      <c r="E35" s="27"/>
      <c r="F35" s="27"/>
      <c r="G35" s="28"/>
      <c r="H35" s="29">
        <f t="shared" si="0"/>
        <v>0</v>
      </c>
      <c r="I35" s="30"/>
      <c r="J35" s="30"/>
    </row>
    <row r="36" spans="1:10" x14ac:dyDescent="0.2">
      <c r="A36" s="31">
        <v>45654</v>
      </c>
      <c r="B36" s="31" t="s">
        <v>21</v>
      </c>
      <c r="C36" s="32"/>
      <c r="D36" s="32"/>
      <c r="E36" s="32"/>
      <c r="F36" s="32"/>
      <c r="G36" s="33"/>
      <c r="H36" s="34">
        <f t="shared" ref="H36:H38" si="2">J36-I36</f>
        <v>0</v>
      </c>
      <c r="I36" s="35"/>
      <c r="J36" s="35"/>
    </row>
    <row r="37" spans="1:10" x14ac:dyDescent="0.2">
      <c r="A37" s="31">
        <v>45655</v>
      </c>
      <c r="B37" s="31" t="s">
        <v>22</v>
      </c>
      <c r="C37" s="32"/>
      <c r="D37" s="32"/>
      <c r="E37" s="32"/>
      <c r="F37" s="32"/>
      <c r="G37" s="33"/>
      <c r="H37" s="34">
        <f t="shared" si="2"/>
        <v>0</v>
      </c>
      <c r="I37" s="35"/>
      <c r="J37" s="35"/>
    </row>
    <row r="38" spans="1:10" x14ac:dyDescent="0.2">
      <c r="A38" s="22">
        <v>45656</v>
      </c>
      <c r="B38" s="22" t="s">
        <v>23</v>
      </c>
      <c r="C38" s="27"/>
      <c r="D38" s="27"/>
      <c r="E38" s="27"/>
      <c r="F38" s="27"/>
      <c r="G38" s="28"/>
      <c r="H38" s="29">
        <f t="shared" si="2"/>
        <v>0</v>
      </c>
      <c r="I38" s="30"/>
      <c r="J38" s="30"/>
    </row>
    <row r="39" spans="1:10" ht="14.1" customHeight="1" thickBot="1" x14ac:dyDescent="0.25">
      <c r="A39" s="22">
        <v>45657</v>
      </c>
      <c r="B39" s="22" t="s">
        <v>13</v>
      </c>
      <c r="C39" s="27"/>
      <c r="D39" s="27"/>
      <c r="E39" s="27"/>
      <c r="F39" s="27"/>
      <c r="G39" s="28"/>
      <c r="H39" s="29">
        <f t="shared" ref="H39" si="3">J39-I39</f>
        <v>0</v>
      </c>
      <c r="I39" s="30"/>
      <c r="J39" s="30"/>
    </row>
    <row r="40" spans="1:10" ht="14.1" customHeight="1" thickBot="1" x14ac:dyDescent="0.3">
      <c r="A40" s="45"/>
      <c r="B40" s="45"/>
      <c r="C40" s="45"/>
      <c r="D40" s="45"/>
      <c r="E40" s="1"/>
      <c r="F40" s="1"/>
      <c r="G40" s="45"/>
      <c r="H40" s="36"/>
      <c r="I40" s="37"/>
    </row>
    <row r="41" spans="1:10" ht="14.1" customHeight="1" x14ac:dyDescent="0.25">
      <c r="A41" s="4"/>
      <c r="B41" s="4"/>
      <c r="C41" s="5"/>
      <c r="D41" s="6"/>
      <c r="E41" s="7" t="s">
        <v>24</v>
      </c>
      <c r="F41" s="8">
        <f>F42*8</f>
        <v>152</v>
      </c>
      <c r="H41" s="40"/>
    </row>
    <row r="42" spans="1:10" ht="14.1" customHeight="1" thickBot="1" x14ac:dyDescent="0.3">
      <c r="A42" s="4"/>
      <c r="B42" s="4"/>
      <c r="C42" s="9"/>
      <c r="D42" s="2"/>
      <c r="E42" s="10" t="s">
        <v>25</v>
      </c>
      <c r="F42" s="11">
        <v>19</v>
      </c>
      <c r="H42" s="40"/>
    </row>
    <row r="43" spans="1:10" ht="14.1" customHeight="1" thickBot="1" x14ac:dyDescent="0.3">
      <c r="A43" s="143" t="s">
        <v>26</v>
      </c>
      <c r="B43" s="143"/>
      <c r="C43" s="143"/>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44" t="s">
        <v>28</v>
      </c>
      <c r="B45" s="144"/>
      <c r="C45" s="144"/>
      <c r="D45" s="16"/>
      <c r="E45" s="17" t="s">
        <v>29</v>
      </c>
      <c r="F45" s="18">
        <f>SUMIF(F9:F39,"Non-Billable",H9:H39)</f>
        <v>1</v>
      </c>
      <c r="H45" s="40"/>
    </row>
    <row r="46" spans="1:10" ht="14.4" thickBot="1" x14ac:dyDescent="0.3">
      <c r="A46" s="2"/>
      <c r="B46" s="2"/>
      <c r="C46" s="2"/>
      <c r="D46" s="2"/>
      <c r="E46" s="19" t="s">
        <v>30</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topLeftCell="A4" zoomScale="75" zoomScaleNormal="75" workbookViewId="0">
      <selection activeCell="F9" sqref="F9"/>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47">
        <v>45658</v>
      </c>
      <c r="B9" s="47" t="s">
        <v>18</v>
      </c>
      <c r="C9" s="48" t="s">
        <v>14</v>
      </c>
      <c r="D9" s="48" t="s">
        <v>1</v>
      </c>
      <c r="E9" s="48" t="s">
        <v>32</v>
      </c>
      <c r="F9" s="48" t="s">
        <v>33</v>
      </c>
      <c r="G9" s="49" t="s">
        <v>37</v>
      </c>
      <c r="H9" s="50">
        <f>J9-I9</f>
        <v>0.33333333333333331</v>
      </c>
      <c r="I9" s="51">
        <v>0.33333333333333331</v>
      </c>
      <c r="J9" s="51">
        <v>0.66666666666666663</v>
      </c>
    </row>
    <row r="10" spans="1:10" x14ac:dyDescent="0.2">
      <c r="A10" s="22">
        <v>45659</v>
      </c>
      <c r="B10" s="22" t="s">
        <v>19</v>
      </c>
      <c r="C10" s="27" t="s">
        <v>14</v>
      </c>
      <c r="D10" s="27" t="s">
        <v>1</v>
      </c>
      <c r="E10" s="27" t="s">
        <v>15</v>
      </c>
      <c r="F10" s="27" t="s">
        <v>16</v>
      </c>
      <c r="G10" s="28" t="s">
        <v>17</v>
      </c>
      <c r="H10" s="29">
        <f>J10-I10</f>
        <v>0.33333333333333331</v>
      </c>
      <c r="I10" s="30">
        <v>0.33333333333333331</v>
      </c>
      <c r="J10" s="30">
        <v>0.66666666666666663</v>
      </c>
    </row>
    <row r="11" spans="1:10" x14ac:dyDescent="0.2">
      <c r="A11" s="22">
        <v>45660</v>
      </c>
      <c r="B11" s="22" t="s">
        <v>20</v>
      </c>
      <c r="C11" s="27"/>
      <c r="D11" s="27"/>
      <c r="E11" s="27"/>
      <c r="F11" s="27"/>
      <c r="G11" s="28"/>
      <c r="H11" s="29">
        <f>J11-I11</f>
        <v>0</v>
      </c>
      <c r="I11" s="30"/>
      <c r="J11" s="30"/>
    </row>
    <row r="12" spans="1:10" x14ac:dyDescent="0.2">
      <c r="A12" s="31">
        <v>45661</v>
      </c>
      <c r="B12" s="31" t="s">
        <v>21</v>
      </c>
      <c r="C12" s="32"/>
      <c r="D12" s="32"/>
      <c r="E12" s="32"/>
      <c r="F12" s="32"/>
      <c r="G12" s="33"/>
      <c r="H12" s="34">
        <f t="shared" ref="H12" si="0">J12-I12</f>
        <v>0</v>
      </c>
      <c r="I12" s="35"/>
      <c r="J12" s="35"/>
    </row>
    <row r="13" spans="1:10" x14ac:dyDescent="0.2">
      <c r="A13" s="31">
        <v>45662</v>
      </c>
      <c r="B13" s="31" t="s">
        <v>22</v>
      </c>
      <c r="C13" s="32"/>
      <c r="D13" s="32"/>
      <c r="E13" s="32"/>
      <c r="F13" s="32"/>
      <c r="G13" s="33"/>
      <c r="H13" s="34">
        <f t="shared" ref="H13:H38" si="1">J13-I13</f>
        <v>0</v>
      </c>
      <c r="I13" s="35"/>
      <c r="J13" s="35"/>
    </row>
    <row r="14" spans="1:10" x14ac:dyDescent="0.2">
      <c r="A14" s="22">
        <v>45663</v>
      </c>
      <c r="B14" s="22" t="s">
        <v>23</v>
      </c>
      <c r="C14" s="27"/>
      <c r="D14" s="27"/>
      <c r="E14" s="27"/>
      <c r="F14" s="27"/>
      <c r="G14" s="28"/>
      <c r="H14" s="29">
        <f t="shared" si="1"/>
        <v>0</v>
      </c>
      <c r="I14" s="30"/>
      <c r="J14" s="30"/>
    </row>
    <row r="15" spans="1:10" x14ac:dyDescent="0.2">
      <c r="A15" s="22">
        <v>45664</v>
      </c>
      <c r="B15" s="22" t="s">
        <v>13</v>
      </c>
      <c r="C15" s="27"/>
      <c r="D15" s="27"/>
      <c r="E15" s="27"/>
      <c r="F15" s="27"/>
      <c r="G15" s="28"/>
      <c r="H15" s="29">
        <f t="shared" si="1"/>
        <v>0</v>
      </c>
      <c r="I15" s="30"/>
      <c r="J15" s="30"/>
    </row>
    <row r="16" spans="1:10" x14ac:dyDescent="0.2">
      <c r="A16" s="22">
        <v>45665</v>
      </c>
      <c r="B16" s="22" t="s">
        <v>18</v>
      </c>
      <c r="C16" s="27"/>
      <c r="D16" s="27"/>
      <c r="E16" s="27"/>
      <c r="F16" s="27"/>
      <c r="G16" s="28"/>
      <c r="H16" s="29">
        <f t="shared" si="1"/>
        <v>0</v>
      </c>
      <c r="I16" s="30"/>
      <c r="J16" s="30"/>
    </row>
    <row r="17" spans="1:10" x14ac:dyDescent="0.2">
      <c r="A17" s="22">
        <v>45666</v>
      </c>
      <c r="B17" s="22" t="s">
        <v>19</v>
      </c>
      <c r="C17" s="27"/>
      <c r="D17" s="27"/>
      <c r="E17" s="27"/>
      <c r="F17" s="27"/>
      <c r="G17" s="28"/>
      <c r="H17" s="29">
        <f t="shared" ref="H17" si="2">J17-I17</f>
        <v>0</v>
      </c>
      <c r="I17" s="30"/>
      <c r="J17" s="30"/>
    </row>
    <row r="18" spans="1:10" x14ac:dyDescent="0.2">
      <c r="A18" s="22">
        <v>45667</v>
      </c>
      <c r="B18" s="22" t="s">
        <v>20</v>
      </c>
      <c r="C18" s="27"/>
      <c r="D18" s="27"/>
      <c r="E18" s="27"/>
      <c r="F18" s="27"/>
      <c r="G18" s="28"/>
      <c r="H18" s="29">
        <f t="shared" si="1"/>
        <v>0</v>
      </c>
      <c r="I18" s="30"/>
      <c r="J18" s="30"/>
    </row>
    <row r="19" spans="1:10" x14ac:dyDescent="0.2">
      <c r="A19" s="31">
        <v>45668</v>
      </c>
      <c r="B19" s="31" t="s">
        <v>21</v>
      </c>
      <c r="C19" s="32"/>
      <c r="D19" s="32"/>
      <c r="E19" s="32"/>
      <c r="F19" s="32"/>
      <c r="G19" s="33"/>
      <c r="H19" s="34">
        <f t="shared" si="1"/>
        <v>0</v>
      </c>
      <c r="I19" s="35"/>
      <c r="J19" s="35"/>
    </row>
    <row r="20" spans="1:10" x14ac:dyDescent="0.2">
      <c r="A20" s="31">
        <v>45669</v>
      </c>
      <c r="B20" s="31" t="s">
        <v>22</v>
      </c>
      <c r="C20" s="32"/>
      <c r="D20" s="32"/>
      <c r="E20" s="32"/>
      <c r="F20" s="32"/>
      <c r="G20" s="33"/>
      <c r="H20" s="34">
        <f t="shared" si="1"/>
        <v>0</v>
      </c>
      <c r="I20" s="35"/>
      <c r="J20" s="35"/>
    </row>
    <row r="21" spans="1:10" x14ac:dyDescent="0.2">
      <c r="A21" s="22">
        <v>45670</v>
      </c>
      <c r="B21" s="22" t="s">
        <v>23</v>
      </c>
      <c r="C21" s="27"/>
      <c r="D21" s="27"/>
      <c r="E21" s="27"/>
      <c r="F21" s="27"/>
      <c r="G21" s="28"/>
      <c r="H21" s="29">
        <f t="shared" si="1"/>
        <v>0</v>
      </c>
      <c r="I21" s="30"/>
      <c r="J21" s="30"/>
    </row>
    <row r="22" spans="1:10" x14ac:dyDescent="0.2">
      <c r="A22" s="22">
        <v>45671</v>
      </c>
      <c r="B22" s="22" t="s">
        <v>13</v>
      </c>
      <c r="C22" s="27"/>
      <c r="D22" s="27"/>
      <c r="E22" s="27"/>
      <c r="F22" s="27"/>
      <c r="G22" s="28"/>
      <c r="H22" s="29">
        <f t="shared" si="1"/>
        <v>0</v>
      </c>
      <c r="I22" s="30"/>
      <c r="J22" s="30"/>
    </row>
    <row r="23" spans="1:10" x14ac:dyDescent="0.2">
      <c r="A23" s="22">
        <v>45672</v>
      </c>
      <c r="B23" s="22" t="s">
        <v>18</v>
      </c>
      <c r="C23" s="27"/>
      <c r="D23" s="27"/>
      <c r="E23" s="27"/>
      <c r="F23" s="27"/>
      <c r="G23" s="28"/>
      <c r="H23" s="29">
        <f t="shared" si="1"/>
        <v>0</v>
      </c>
      <c r="I23" s="30"/>
      <c r="J23" s="30"/>
    </row>
    <row r="24" spans="1:10" x14ac:dyDescent="0.2">
      <c r="A24" s="22">
        <v>45673</v>
      </c>
      <c r="B24" s="22" t="s">
        <v>19</v>
      </c>
      <c r="C24" s="27"/>
      <c r="D24" s="27"/>
      <c r="E24" s="27"/>
      <c r="F24" s="27"/>
      <c r="G24" s="28"/>
      <c r="H24" s="29">
        <f t="shared" si="1"/>
        <v>0</v>
      </c>
      <c r="I24" s="30"/>
      <c r="J24" s="30"/>
    </row>
    <row r="25" spans="1:10" x14ac:dyDescent="0.2">
      <c r="A25" s="22">
        <v>45674</v>
      </c>
      <c r="B25" s="22" t="s">
        <v>20</v>
      </c>
      <c r="C25" s="27"/>
      <c r="D25" s="27"/>
      <c r="E25" s="27"/>
      <c r="F25" s="27"/>
      <c r="G25" s="28"/>
      <c r="H25" s="29">
        <f t="shared" si="1"/>
        <v>0</v>
      </c>
      <c r="I25" s="30"/>
      <c r="J25" s="30"/>
    </row>
    <row r="26" spans="1:10" x14ac:dyDescent="0.2">
      <c r="A26" s="31">
        <v>45675</v>
      </c>
      <c r="B26" s="31" t="s">
        <v>21</v>
      </c>
      <c r="C26" s="32"/>
      <c r="D26" s="32"/>
      <c r="E26" s="32"/>
      <c r="F26" s="32"/>
      <c r="G26" s="33"/>
      <c r="H26" s="34">
        <f t="shared" si="1"/>
        <v>0</v>
      </c>
      <c r="I26" s="35"/>
      <c r="J26" s="35"/>
    </row>
    <row r="27" spans="1:10" x14ac:dyDescent="0.2">
      <c r="A27" s="31">
        <v>45676</v>
      </c>
      <c r="B27" s="31" t="s">
        <v>22</v>
      </c>
      <c r="C27" s="32"/>
      <c r="D27" s="32"/>
      <c r="E27" s="32"/>
      <c r="F27" s="32"/>
      <c r="G27" s="33"/>
      <c r="H27" s="34">
        <f t="shared" si="1"/>
        <v>0</v>
      </c>
      <c r="I27" s="35"/>
      <c r="J27" s="35"/>
    </row>
    <row r="28" spans="1:10" x14ac:dyDescent="0.2">
      <c r="A28" s="22">
        <v>45677</v>
      </c>
      <c r="B28" s="22" t="s">
        <v>23</v>
      </c>
      <c r="C28" s="27"/>
      <c r="D28" s="27"/>
      <c r="E28" s="27"/>
      <c r="F28" s="27"/>
      <c r="G28" s="28"/>
      <c r="H28" s="29">
        <f t="shared" si="1"/>
        <v>0</v>
      </c>
      <c r="I28" s="30"/>
      <c r="J28" s="30"/>
    </row>
    <row r="29" spans="1:10" x14ac:dyDescent="0.2">
      <c r="A29" s="22">
        <v>45678</v>
      </c>
      <c r="B29" s="22" t="s">
        <v>13</v>
      </c>
      <c r="C29" s="27"/>
      <c r="D29" s="27"/>
      <c r="E29" s="27"/>
      <c r="F29" s="27"/>
      <c r="G29" s="28"/>
      <c r="H29" s="29">
        <f t="shared" si="1"/>
        <v>0</v>
      </c>
      <c r="I29" s="30"/>
      <c r="J29" s="30"/>
    </row>
    <row r="30" spans="1:10" x14ac:dyDescent="0.2">
      <c r="A30" s="22">
        <v>45679</v>
      </c>
      <c r="B30" s="22" t="s">
        <v>18</v>
      </c>
      <c r="C30" s="27"/>
      <c r="D30" s="27"/>
      <c r="E30" s="27"/>
      <c r="F30" s="27"/>
      <c r="G30" s="28"/>
      <c r="H30" s="29">
        <f t="shared" si="1"/>
        <v>0</v>
      </c>
      <c r="I30" s="30"/>
      <c r="J30" s="30"/>
    </row>
    <row r="31" spans="1:10" x14ac:dyDescent="0.2">
      <c r="A31" s="22">
        <v>45680</v>
      </c>
      <c r="B31" s="22" t="s">
        <v>19</v>
      </c>
      <c r="C31" s="27"/>
      <c r="D31" s="27"/>
      <c r="E31" s="27"/>
      <c r="F31" s="27"/>
      <c r="G31" s="28"/>
      <c r="H31" s="29">
        <f t="shared" si="1"/>
        <v>0</v>
      </c>
      <c r="I31" s="30"/>
      <c r="J31" s="30"/>
    </row>
    <row r="32" spans="1:10" x14ac:dyDescent="0.2">
      <c r="A32" s="22">
        <v>45681</v>
      </c>
      <c r="B32" s="22" t="s">
        <v>20</v>
      </c>
      <c r="C32" s="27"/>
      <c r="D32" s="27"/>
      <c r="E32" s="27"/>
      <c r="F32" s="27"/>
      <c r="G32" s="28"/>
      <c r="H32" s="29">
        <f t="shared" si="1"/>
        <v>0</v>
      </c>
      <c r="I32" s="30"/>
      <c r="J32" s="30"/>
    </row>
    <row r="33" spans="1:10" x14ac:dyDescent="0.2">
      <c r="A33" s="31">
        <v>45682</v>
      </c>
      <c r="B33" s="31" t="s">
        <v>21</v>
      </c>
      <c r="C33" s="32"/>
      <c r="D33" s="32"/>
      <c r="E33" s="32"/>
      <c r="F33" s="32"/>
      <c r="G33" s="33"/>
      <c r="H33" s="34">
        <f t="shared" si="1"/>
        <v>0</v>
      </c>
      <c r="I33" s="35"/>
      <c r="J33" s="35"/>
    </row>
    <row r="34" spans="1:10" x14ac:dyDescent="0.2">
      <c r="A34" s="31">
        <v>45683</v>
      </c>
      <c r="B34" s="31" t="s">
        <v>22</v>
      </c>
      <c r="C34" s="32"/>
      <c r="D34" s="32"/>
      <c r="E34" s="32"/>
      <c r="F34" s="32"/>
      <c r="G34" s="33"/>
      <c r="H34" s="34">
        <f t="shared" si="1"/>
        <v>0</v>
      </c>
      <c r="I34" s="35"/>
      <c r="J34" s="35"/>
    </row>
    <row r="35" spans="1:10" x14ac:dyDescent="0.2">
      <c r="A35" s="22">
        <v>45684</v>
      </c>
      <c r="B35" s="22" t="s">
        <v>23</v>
      </c>
      <c r="C35" s="27"/>
      <c r="D35" s="27"/>
      <c r="E35" s="27"/>
      <c r="F35" s="27"/>
      <c r="G35" s="28"/>
      <c r="H35" s="29">
        <f t="shared" si="1"/>
        <v>0</v>
      </c>
      <c r="I35" s="30"/>
      <c r="J35" s="30"/>
    </row>
    <row r="36" spans="1:10" x14ac:dyDescent="0.2">
      <c r="A36" s="22">
        <v>45685</v>
      </c>
      <c r="B36" s="22" t="s">
        <v>13</v>
      </c>
      <c r="C36" s="27"/>
      <c r="D36" s="27"/>
      <c r="E36" s="27"/>
      <c r="F36" s="27"/>
      <c r="G36" s="28"/>
      <c r="H36" s="29">
        <f t="shared" si="1"/>
        <v>0</v>
      </c>
      <c r="I36" s="30"/>
      <c r="J36" s="30"/>
    </row>
    <row r="37" spans="1:10" x14ac:dyDescent="0.2">
      <c r="A37" s="22">
        <v>45686</v>
      </c>
      <c r="B37" s="22" t="s">
        <v>18</v>
      </c>
      <c r="C37" s="27"/>
      <c r="D37" s="27"/>
      <c r="E37" s="27"/>
      <c r="F37" s="27"/>
      <c r="G37" s="28"/>
      <c r="H37" s="29">
        <f t="shared" si="1"/>
        <v>0</v>
      </c>
      <c r="I37" s="30"/>
      <c r="J37" s="30"/>
    </row>
    <row r="38" spans="1:10" x14ac:dyDescent="0.2">
      <c r="A38" s="22">
        <v>45687</v>
      </c>
      <c r="B38" s="22" t="s">
        <v>19</v>
      </c>
      <c r="C38" s="27"/>
      <c r="D38" s="27"/>
      <c r="E38" s="27"/>
      <c r="F38" s="27"/>
      <c r="G38" s="28"/>
      <c r="H38" s="29">
        <f t="shared" si="1"/>
        <v>0</v>
      </c>
      <c r="I38" s="30"/>
      <c r="J38" s="30"/>
    </row>
    <row r="39" spans="1:10" ht="13.2" thickBot="1" x14ac:dyDescent="0.25">
      <c r="A39" s="22">
        <v>45688</v>
      </c>
      <c r="B39" s="22" t="s">
        <v>20</v>
      </c>
      <c r="C39" s="27"/>
      <c r="D39" s="27"/>
      <c r="E39" s="27"/>
      <c r="F39" s="27"/>
      <c r="G39" s="28"/>
      <c r="H39" s="29">
        <f>J39-I39</f>
        <v>0</v>
      </c>
      <c r="I39" s="30"/>
      <c r="J39" s="30"/>
    </row>
    <row r="40" spans="1:10" ht="14.1" customHeight="1" thickBot="1" x14ac:dyDescent="0.3">
      <c r="A40" s="3"/>
      <c r="B40" s="1"/>
      <c r="C40" s="1"/>
      <c r="D40" s="1"/>
      <c r="E40" s="1"/>
      <c r="F40" s="1"/>
      <c r="G40" s="1"/>
      <c r="H40" s="36"/>
      <c r="I40" s="37"/>
    </row>
    <row r="41" spans="1:10" ht="14.1" customHeight="1" x14ac:dyDescent="0.25">
      <c r="A41" s="4"/>
      <c r="B41" s="4"/>
      <c r="C41" s="5"/>
      <c r="D41" s="6"/>
      <c r="E41" s="7" t="s">
        <v>24</v>
      </c>
      <c r="F41" s="8">
        <f>F42*8</f>
        <v>176</v>
      </c>
      <c r="H41" s="40"/>
    </row>
    <row r="42" spans="1:10" ht="14.1" customHeight="1" thickBot="1" x14ac:dyDescent="0.3">
      <c r="A42" s="4"/>
      <c r="B42" s="4"/>
      <c r="C42" s="9"/>
      <c r="D42" s="2"/>
      <c r="E42" s="10" t="s">
        <v>25</v>
      </c>
      <c r="F42" s="11">
        <v>22</v>
      </c>
      <c r="H42" s="40"/>
    </row>
    <row r="43" spans="1:10" ht="14.1" customHeight="1" thickBot="1" x14ac:dyDescent="0.3">
      <c r="A43" s="143" t="s">
        <v>26</v>
      </c>
      <c r="B43" s="143"/>
      <c r="C43" s="143"/>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44" t="s">
        <v>28</v>
      </c>
      <c r="B45" s="144"/>
      <c r="C45" s="144"/>
      <c r="D45" s="16"/>
      <c r="E45" s="17" t="s">
        <v>29</v>
      </c>
      <c r="F45" s="18">
        <f>SUMIF(F9:F39,"Non-Billable",H9:H39)</f>
        <v>0.33333333333333331</v>
      </c>
      <c r="H45" s="40"/>
    </row>
    <row r="46" spans="1:10" ht="14.4" thickBot="1" x14ac:dyDescent="0.3">
      <c r="A46" s="2"/>
      <c r="B46" s="2"/>
      <c r="C46" s="2"/>
      <c r="D46" s="2"/>
      <c r="E46" s="19" t="s">
        <v>30</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59DFADC5-E3B8-482B-925E-D0C90DB0047C}">
          <x14:formula1>
            <xm:f>Key!$H$3:$H$62</xm:f>
          </x14:formula1>
          <xm:sqref>B5</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6"/>
  <sheetViews>
    <sheetView topLeftCell="A29" zoomScale="75" zoomScaleNormal="75" workbookViewId="0">
      <selection activeCell="G41" sqref="G41"/>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0" x14ac:dyDescent="0.2">
      <c r="A5" s="37" t="s">
        <v>0</v>
      </c>
      <c r="B5" s="23" t="s">
        <v>38</v>
      </c>
      <c r="C5" s="37"/>
      <c r="H5" s="40"/>
    </row>
    <row r="6" spans="1:10" x14ac:dyDescent="0.2">
      <c r="A6" s="37" t="s">
        <v>2</v>
      </c>
      <c r="B6" s="86">
        <f>F41</f>
        <v>0</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45689</v>
      </c>
      <c r="B9" s="31" t="s">
        <v>21</v>
      </c>
      <c r="C9" s="32"/>
      <c r="D9" s="32"/>
      <c r="E9" s="32"/>
      <c r="F9" s="32"/>
      <c r="G9" s="33"/>
      <c r="H9" s="34">
        <f>J9-I9</f>
        <v>0</v>
      </c>
      <c r="I9" s="35"/>
      <c r="J9" s="35"/>
    </row>
    <row r="10" spans="1:10" x14ac:dyDescent="0.2">
      <c r="A10" s="31">
        <v>45690</v>
      </c>
      <c r="B10" s="31" t="s">
        <v>22</v>
      </c>
      <c r="C10" s="32"/>
      <c r="D10" s="32"/>
      <c r="E10" s="32"/>
      <c r="F10" s="32"/>
      <c r="G10" s="33"/>
      <c r="H10" s="34">
        <f>J10-I10</f>
        <v>0</v>
      </c>
      <c r="I10" s="35"/>
      <c r="J10" s="35"/>
    </row>
    <row r="11" spans="1:10" ht="163.80000000000001" x14ac:dyDescent="0.2">
      <c r="A11" s="22">
        <v>45691</v>
      </c>
      <c r="B11" s="22" t="s">
        <v>23</v>
      </c>
      <c r="C11" s="27" t="s">
        <v>14</v>
      </c>
      <c r="D11" s="27" t="s">
        <v>39</v>
      </c>
      <c r="E11" s="27" t="s">
        <v>40</v>
      </c>
      <c r="F11" s="27" t="s">
        <v>33</v>
      </c>
      <c r="G11" s="28" t="s">
        <v>41</v>
      </c>
      <c r="H11" s="29">
        <f t="shared" ref="H11:H36" si="0">J11-I11</f>
        <v>0.33333333333333331</v>
      </c>
      <c r="I11" s="30">
        <v>0.33333333333333331</v>
      </c>
      <c r="J11" s="30">
        <v>0.66666666666666663</v>
      </c>
    </row>
    <row r="12" spans="1:10" ht="138.6" x14ac:dyDescent="0.2">
      <c r="A12" s="22">
        <v>45692</v>
      </c>
      <c r="B12" s="22" t="s">
        <v>13</v>
      </c>
      <c r="C12" s="27" t="s">
        <v>14</v>
      </c>
      <c r="D12" s="27" t="s">
        <v>39</v>
      </c>
      <c r="E12" s="27" t="s">
        <v>42</v>
      </c>
      <c r="F12" s="27" t="s">
        <v>33</v>
      </c>
      <c r="G12" s="28" t="s">
        <v>43</v>
      </c>
      <c r="H12" s="29">
        <f t="shared" si="0"/>
        <v>0.33333333333333331</v>
      </c>
      <c r="I12" s="30">
        <v>0.33333333333333331</v>
      </c>
      <c r="J12" s="30">
        <v>0.66666666666666663</v>
      </c>
    </row>
    <row r="13" spans="1:10" ht="88.2" x14ac:dyDescent="0.2">
      <c r="A13" s="22">
        <v>45693</v>
      </c>
      <c r="B13" s="22" t="s">
        <v>18</v>
      </c>
      <c r="C13" s="27" t="s">
        <v>14</v>
      </c>
      <c r="D13" s="27" t="s">
        <v>39</v>
      </c>
      <c r="E13" s="27" t="s">
        <v>44</v>
      </c>
      <c r="F13" s="27" t="s">
        <v>33</v>
      </c>
      <c r="G13" s="28" t="s">
        <v>45</v>
      </c>
      <c r="H13" s="29">
        <f t="shared" si="0"/>
        <v>0.33333333333333398</v>
      </c>
      <c r="I13" s="30">
        <v>0.33333333333333298</v>
      </c>
      <c r="J13" s="30">
        <v>0.66666666666666696</v>
      </c>
    </row>
    <row r="14" spans="1:10" ht="100.8" x14ac:dyDescent="0.2">
      <c r="A14" s="22">
        <v>45694</v>
      </c>
      <c r="B14" s="22" t="s">
        <v>19</v>
      </c>
      <c r="C14" s="27" t="s">
        <v>14</v>
      </c>
      <c r="D14" s="27" t="s">
        <v>39</v>
      </c>
      <c r="E14" s="27" t="s">
        <v>40</v>
      </c>
      <c r="F14" s="27" t="s">
        <v>33</v>
      </c>
      <c r="G14" s="28" t="s">
        <v>46</v>
      </c>
      <c r="H14" s="29">
        <f t="shared" si="0"/>
        <v>0.33333333333333398</v>
      </c>
      <c r="I14" s="30">
        <v>0.33333333333333298</v>
      </c>
      <c r="J14" s="30">
        <v>0.66666666666666696</v>
      </c>
    </row>
    <row r="15" spans="1:10" ht="113.4" x14ac:dyDescent="0.2">
      <c r="A15" s="22">
        <v>45695</v>
      </c>
      <c r="B15" s="22" t="s">
        <v>20</v>
      </c>
      <c r="C15" s="27" t="s">
        <v>14</v>
      </c>
      <c r="D15" s="27" t="s">
        <v>39</v>
      </c>
      <c r="E15" s="27" t="s">
        <v>40</v>
      </c>
      <c r="F15" s="27" t="s">
        <v>33</v>
      </c>
      <c r="G15" s="28" t="s">
        <v>47</v>
      </c>
      <c r="H15" s="29">
        <f t="shared" si="0"/>
        <v>0.33333333333333398</v>
      </c>
      <c r="I15" s="30">
        <v>0.33333333333333298</v>
      </c>
      <c r="J15" s="30">
        <v>0.66666666666666696</v>
      </c>
    </row>
    <row r="16" spans="1:10" x14ac:dyDescent="0.2">
      <c r="A16" s="31">
        <v>45696</v>
      </c>
      <c r="B16" s="31" t="s">
        <v>21</v>
      </c>
      <c r="C16" s="32"/>
      <c r="D16" s="32"/>
      <c r="E16" s="32"/>
      <c r="F16" s="32"/>
      <c r="G16" s="33"/>
      <c r="H16" s="34">
        <f t="shared" si="0"/>
        <v>0</v>
      </c>
      <c r="I16" s="35"/>
      <c r="J16" s="35"/>
    </row>
    <row r="17" spans="1:10" x14ac:dyDescent="0.2">
      <c r="A17" s="31">
        <v>45697</v>
      </c>
      <c r="B17" s="31" t="s">
        <v>22</v>
      </c>
      <c r="C17" s="32"/>
      <c r="D17" s="32"/>
      <c r="E17" s="32"/>
      <c r="F17" s="32"/>
      <c r="G17" s="33"/>
      <c r="H17" s="34">
        <f t="shared" si="0"/>
        <v>0</v>
      </c>
      <c r="I17" s="35"/>
      <c r="J17" s="35"/>
    </row>
    <row r="18" spans="1:10" ht="239.4" x14ac:dyDescent="0.2">
      <c r="A18" s="22">
        <v>45698</v>
      </c>
      <c r="B18" s="22" t="s">
        <v>23</v>
      </c>
      <c r="C18" s="27" t="s">
        <v>14</v>
      </c>
      <c r="D18" s="27" t="s">
        <v>39</v>
      </c>
      <c r="E18" s="27" t="s">
        <v>40</v>
      </c>
      <c r="F18" s="27" t="s">
        <v>33</v>
      </c>
      <c r="G18" s="28" t="s">
        <v>48</v>
      </c>
      <c r="H18" s="29">
        <f t="shared" si="0"/>
        <v>0.4312500000000003</v>
      </c>
      <c r="I18" s="30">
        <v>0.33333333333333298</v>
      </c>
      <c r="J18" s="30">
        <v>0.76458333333333328</v>
      </c>
    </row>
    <row r="19" spans="1:10" ht="189" x14ac:dyDescent="0.2">
      <c r="A19" s="22">
        <v>45699</v>
      </c>
      <c r="B19" s="22" t="s">
        <v>13</v>
      </c>
      <c r="C19" s="27" t="s">
        <v>14</v>
      </c>
      <c r="D19" s="27" t="s">
        <v>39</v>
      </c>
      <c r="E19" s="27" t="s">
        <v>40</v>
      </c>
      <c r="F19" s="27" t="s">
        <v>33</v>
      </c>
      <c r="G19" s="28" t="s">
        <v>49</v>
      </c>
      <c r="H19" s="29">
        <f t="shared" si="0"/>
        <v>0.40902777777777816</v>
      </c>
      <c r="I19" s="30">
        <v>0.33333333333333298</v>
      </c>
      <c r="J19" s="30">
        <v>0.74236111111111114</v>
      </c>
    </row>
    <row r="20" spans="1:10" ht="201.6" x14ac:dyDescent="0.2">
      <c r="A20" s="22">
        <v>45700</v>
      </c>
      <c r="B20" s="22" t="s">
        <v>18</v>
      </c>
      <c r="C20" s="27" t="s">
        <v>14</v>
      </c>
      <c r="D20" s="27" t="s">
        <v>39</v>
      </c>
      <c r="E20" s="27" t="s">
        <v>40</v>
      </c>
      <c r="F20" s="27" t="s">
        <v>33</v>
      </c>
      <c r="G20" s="28" t="s">
        <v>50</v>
      </c>
      <c r="H20" s="29">
        <f t="shared" si="0"/>
        <v>0.42708333333333365</v>
      </c>
      <c r="I20" s="30">
        <v>0.33333333333333298</v>
      </c>
      <c r="J20" s="30">
        <v>0.76041666666666663</v>
      </c>
    </row>
    <row r="21" spans="1:10" ht="239.4" x14ac:dyDescent="0.2">
      <c r="A21" s="22">
        <v>45701</v>
      </c>
      <c r="B21" s="22" t="s">
        <v>19</v>
      </c>
      <c r="C21" s="27" t="s">
        <v>14</v>
      </c>
      <c r="D21" s="27" t="s">
        <v>39</v>
      </c>
      <c r="E21" s="27" t="s">
        <v>40</v>
      </c>
      <c r="F21" s="27" t="s">
        <v>33</v>
      </c>
      <c r="G21" s="28" t="s">
        <v>51</v>
      </c>
      <c r="H21" s="29">
        <f t="shared" si="0"/>
        <v>0.40138888888888929</v>
      </c>
      <c r="I21" s="30">
        <v>0.33333333333333298</v>
      </c>
      <c r="J21" s="30">
        <v>0.73472222222222228</v>
      </c>
    </row>
    <row r="22" spans="1:10" ht="189" x14ac:dyDescent="0.2">
      <c r="A22" s="22">
        <v>45702</v>
      </c>
      <c r="B22" s="22" t="s">
        <v>20</v>
      </c>
      <c r="C22" s="27" t="s">
        <v>14</v>
      </c>
      <c r="D22" s="27" t="s">
        <v>39</v>
      </c>
      <c r="E22" s="27" t="s">
        <v>40</v>
      </c>
      <c r="F22" s="27" t="s">
        <v>33</v>
      </c>
      <c r="G22" s="28" t="s">
        <v>52</v>
      </c>
      <c r="H22" s="29">
        <f t="shared" si="0"/>
        <v>0.40625000000000006</v>
      </c>
      <c r="I22" s="30">
        <v>0.33333333333333331</v>
      </c>
      <c r="J22" s="30">
        <v>0.73958333333333337</v>
      </c>
    </row>
    <row r="23" spans="1:10" x14ac:dyDescent="0.2">
      <c r="A23" s="31">
        <v>45703</v>
      </c>
      <c r="B23" s="31" t="s">
        <v>21</v>
      </c>
      <c r="C23" s="32"/>
      <c r="D23" s="32"/>
      <c r="E23" s="32"/>
      <c r="F23" s="32"/>
      <c r="G23" s="33"/>
      <c r="H23" s="34">
        <f t="shared" si="0"/>
        <v>0</v>
      </c>
      <c r="I23" s="35"/>
      <c r="J23" s="35"/>
    </row>
    <row r="24" spans="1:10" x14ac:dyDescent="0.2">
      <c r="A24" s="31">
        <v>45704</v>
      </c>
      <c r="B24" s="31" t="s">
        <v>22</v>
      </c>
      <c r="C24" s="32"/>
      <c r="D24" s="32"/>
      <c r="E24" s="32"/>
      <c r="F24" s="32"/>
      <c r="G24" s="33"/>
      <c r="H24" s="34">
        <f t="shared" si="0"/>
        <v>0</v>
      </c>
      <c r="I24" s="35"/>
      <c r="J24" s="35"/>
    </row>
    <row r="25" spans="1:10" ht="277.2" x14ac:dyDescent="0.2">
      <c r="A25" s="22">
        <v>45705</v>
      </c>
      <c r="B25" s="22" t="s">
        <v>23</v>
      </c>
      <c r="C25" s="27" t="s">
        <v>14</v>
      </c>
      <c r="D25" s="27" t="s">
        <v>39</v>
      </c>
      <c r="E25" s="27" t="s">
        <v>40</v>
      </c>
      <c r="F25" s="27" t="s">
        <v>33</v>
      </c>
      <c r="G25" s="28" t="s">
        <v>53</v>
      </c>
      <c r="H25" s="29">
        <f t="shared" si="0"/>
        <v>0.38680555555555557</v>
      </c>
      <c r="I25" s="30">
        <v>0.33333333333333331</v>
      </c>
      <c r="J25" s="30">
        <v>0.72013888888888888</v>
      </c>
    </row>
    <row r="26" spans="1:10" ht="252" x14ac:dyDescent="0.2">
      <c r="A26" s="22">
        <v>45706</v>
      </c>
      <c r="B26" s="22" t="s">
        <v>13</v>
      </c>
      <c r="C26" s="27" t="s">
        <v>14</v>
      </c>
      <c r="D26" s="27" t="s">
        <v>39</v>
      </c>
      <c r="E26" s="27" t="s">
        <v>40</v>
      </c>
      <c r="F26" s="27" t="s">
        <v>33</v>
      </c>
      <c r="G26" s="28" t="s">
        <v>54</v>
      </c>
      <c r="H26" s="29">
        <f t="shared" si="0"/>
        <v>0.39097222222222222</v>
      </c>
      <c r="I26" s="30">
        <v>0.33333333333333331</v>
      </c>
      <c r="J26" s="30">
        <v>0.72430555555555554</v>
      </c>
    </row>
    <row r="27" spans="1:10" ht="189" x14ac:dyDescent="0.2">
      <c r="A27" s="22">
        <v>45707</v>
      </c>
      <c r="B27" s="22" t="s">
        <v>18</v>
      </c>
      <c r="C27" s="27" t="s">
        <v>14</v>
      </c>
      <c r="D27" s="27" t="s">
        <v>39</v>
      </c>
      <c r="E27" s="27" t="s">
        <v>40</v>
      </c>
      <c r="F27" s="27" t="s">
        <v>33</v>
      </c>
      <c r="G27" s="40" t="s">
        <v>55</v>
      </c>
      <c r="H27" s="29">
        <f t="shared" si="0"/>
        <v>0.40555555555555561</v>
      </c>
      <c r="I27" s="30">
        <v>0.33333333333333331</v>
      </c>
      <c r="J27" s="30">
        <v>0.73888888888888893</v>
      </c>
    </row>
    <row r="28" spans="1:10" ht="226.8" x14ac:dyDescent="0.2">
      <c r="A28" s="22">
        <v>45708</v>
      </c>
      <c r="B28" s="22" t="s">
        <v>19</v>
      </c>
      <c r="C28" s="27" t="s">
        <v>14</v>
      </c>
      <c r="D28" s="27" t="s">
        <v>39</v>
      </c>
      <c r="E28" s="27" t="s">
        <v>40</v>
      </c>
      <c r="F28" s="27" t="s">
        <v>33</v>
      </c>
      <c r="G28" s="40" t="s">
        <v>56</v>
      </c>
      <c r="H28" s="29">
        <f t="shared" si="0"/>
        <v>0.40625000000000006</v>
      </c>
      <c r="I28" s="30">
        <v>0.33333333333333331</v>
      </c>
      <c r="J28" s="30">
        <v>0.73958333333333337</v>
      </c>
    </row>
    <row r="29" spans="1:10" ht="264.60000000000002" x14ac:dyDescent="0.2">
      <c r="A29" s="22">
        <v>45709</v>
      </c>
      <c r="B29" s="22" t="s">
        <v>20</v>
      </c>
      <c r="C29" s="27" t="s">
        <v>14</v>
      </c>
      <c r="D29" s="27" t="s">
        <v>39</v>
      </c>
      <c r="E29" s="27" t="s">
        <v>40</v>
      </c>
      <c r="F29" s="27" t="s">
        <v>33</v>
      </c>
      <c r="G29" s="28" t="s">
        <v>57</v>
      </c>
      <c r="H29" s="29">
        <f t="shared" si="0"/>
        <v>0.38055555555555559</v>
      </c>
      <c r="I29" s="30">
        <v>0.33333333333333331</v>
      </c>
      <c r="J29" s="30">
        <v>0.71388888888888891</v>
      </c>
    </row>
    <row r="30" spans="1:10" x14ac:dyDescent="0.2">
      <c r="A30" s="31">
        <v>45710</v>
      </c>
      <c r="B30" s="31" t="s">
        <v>21</v>
      </c>
      <c r="C30" s="32"/>
      <c r="D30" s="32"/>
      <c r="E30" s="32"/>
      <c r="F30" s="32"/>
      <c r="G30" s="33"/>
      <c r="H30" s="34">
        <f t="shared" si="0"/>
        <v>0</v>
      </c>
      <c r="I30" s="35"/>
      <c r="J30" s="35"/>
    </row>
    <row r="31" spans="1:10" x14ac:dyDescent="0.2">
      <c r="A31" s="31">
        <v>45711</v>
      </c>
      <c r="B31" s="31" t="s">
        <v>22</v>
      </c>
      <c r="C31" s="32"/>
      <c r="D31" s="32"/>
      <c r="E31" s="32"/>
      <c r="F31" s="32"/>
      <c r="G31" s="33"/>
      <c r="H31" s="34">
        <f t="shared" si="0"/>
        <v>0</v>
      </c>
      <c r="I31" s="35"/>
      <c r="J31" s="35"/>
    </row>
    <row r="32" spans="1:10" ht="252" x14ac:dyDescent="0.2">
      <c r="A32" s="22">
        <v>45712</v>
      </c>
      <c r="B32" s="22" t="s">
        <v>23</v>
      </c>
      <c r="C32" s="27" t="s">
        <v>14</v>
      </c>
      <c r="D32" s="27" t="s">
        <v>39</v>
      </c>
      <c r="E32" s="27" t="s">
        <v>40</v>
      </c>
      <c r="F32" s="27" t="s">
        <v>33</v>
      </c>
      <c r="G32" s="28" t="s">
        <v>58</v>
      </c>
      <c r="H32" s="29">
        <f t="shared" si="0"/>
        <v>0.38819444444444445</v>
      </c>
      <c r="I32" s="30">
        <v>0.33333333333333331</v>
      </c>
      <c r="J32" s="30">
        <v>0.72152777777777777</v>
      </c>
    </row>
    <row r="33" spans="1:10" ht="239.4" x14ac:dyDescent="0.2">
      <c r="A33" s="22">
        <v>45713</v>
      </c>
      <c r="B33" s="22" t="s">
        <v>13</v>
      </c>
      <c r="C33" s="27" t="s">
        <v>14</v>
      </c>
      <c r="D33" s="27" t="s">
        <v>39</v>
      </c>
      <c r="E33" s="27" t="s">
        <v>40</v>
      </c>
      <c r="F33" s="27" t="s">
        <v>33</v>
      </c>
      <c r="G33" s="28" t="s">
        <v>59</v>
      </c>
      <c r="H33" s="29">
        <f t="shared" si="0"/>
        <v>0.38611111111111113</v>
      </c>
      <c r="I33" s="30">
        <v>0.33333333333333331</v>
      </c>
      <c r="J33" s="30">
        <v>0.71944444444444444</v>
      </c>
    </row>
    <row r="34" spans="1:10" ht="163.80000000000001" x14ac:dyDescent="0.2">
      <c r="A34" s="22">
        <v>45714</v>
      </c>
      <c r="B34" s="22" t="s">
        <v>18</v>
      </c>
      <c r="C34" s="27" t="s">
        <v>14</v>
      </c>
      <c r="D34" s="27" t="s">
        <v>39</v>
      </c>
      <c r="E34" s="27" t="s">
        <v>40</v>
      </c>
      <c r="F34" s="27" t="s">
        <v>33</v>
      </c>
      <c r="G34" s="28" t="s">
        <v>60</v>
      </c>
      <c r="H34" s="29">
        <f t="shared" si="0"/>
        <v>0.38680555555555557</v>
      </c>
      <c r="I34" s="30">
        <v>0.33333333333333331</v>
      </c>
      <c r="J34" s="30">
        <v>0.72013888888888888</v>
      </c>
    </row>
    <row r="35" spans="1:10" ht="163.80000000000001" x14ac:dyDescent="0.2">
      <c r="A35" s="22">
        <v>45715</v>
      </c>
      <c r="B35" s="22" t="s">
        <v>19</v>
      </c>
      <c r="C35" s="27" t="s">
        <v>14</v>
      </c>
      <c r="D35" s="27" t="s">
        <v>39</v>
      </c>
      <c r="E35" s="27" t="s">
        <v>40</v>
      </c>
      <c r="F35" s="27" t="s">
        <v>33</v>
      </c>
      <c r="G35" s="28" t="s">
        <v>61</v>
      </c>
      <c r="H35" s="29">
        <f t="shared" si="0"/>
        <v>0.39583333333333331</v>
      </c>
      <c r="I35" s="30">
        <v>0.33333333333333331</v>
      </c>
      <c r="J35" s="30">
        <v>0.72916666666666663</v>
      </c>
    </row>
    <row r="36" spans="1:10" ht="189" x14ac:dyDescent="0.2">
      <c r="A36" s="22">
        <v>45716</v>
      </c>
      <c r="B36" s="22" t="s">
        <v>20</v>
      </c>
      <c r="C36" s="27" t="s">
        <v>14</v>
      </c>
      <c r="D36" s="27" t="s">
        <v>39</v>
      </c>
      <c r="E36" s="27" t="s">
        <v>40</v>
      </c>
      <c r="F36" s="27" t="s">
        <v>33</v>
      </c>
      <c r="G36" s="28" t="s">
        <v>62</v>
      </c>
      <c r="H36" s="29">
        <f t="shared" si="0"/>
        <v>0.39861111111111108</v>
      </c>
      <c r="I36" s="30">
        <v>0.33333333333333331</v>
      </c>
      <c r="J36" s="30">
        <v>0.7319444444444444</v>
      </c>
    </row>
    <row r="37" spans="1:10" ht="14.1" customHeight="1" thickBot="1" x14ac:dyDescent="0.3">
      <c r="A37" s="46"/>
      <c r="B37" s="45"/>
      <c r="C37" s="45"/>
      <c r="D37" s="45"/>
      <c r="E37" s="45"/>
      <c r="F37" s="45"/>
      <c r="G37" s="45"/>
      <c r="H37" s="36"/>
      <c r="I37" s="37"/>
    </row>
    <row r="38" spans="1:10" ht="14.1" customHeight="1" x14ac:dyDescent="0.25">
      <c r="A38" s="4"/>
      <c r="B38" s="4"/>
      <c r="C38" s="5"/>
      <c r="D38" s="6"/>
      <c r="E38" s="7" t="s">
        <v>24</v>
      </c>
      <c r="F38" s="8">
        <f>F39*8</f>
        <v>160</v>
      </c>
      <c r="H38" s="40"/>
    </row>
    <row r="39" spans="1:10" ht="14.1" customHeight="1" thickBot="1" x14ac:dyDescent="0.3">
      <c r="A39" s="4"/>
      <c r="B39" s="4"/>
      <c r="C39" s="9"/>
      <c r="D39" s="2"/>
      <c r="E39" s="10" t="s">
        <v>25</v>
      </c>
      <c r="F39" s="11">
        <v>20</v>
      </c>
      <c r="H39" s="40"/>
    </row>
    <row r="40" spans="1:10" ht="14.1" customHeight="1" thickBot="1" x14ac:dyDescent="0.3">
      <c r="A40" s="143" t="s">
        <v>26</v>
      </c>
      <c r="B40" s="143"/>
      <c r="C40" s="143"/>
      <c r="D40" s="12"/>
      <c r="E40" s="2"/>
      <c r="F40" s="2"/>
      <c r="H40" s="40"/>
    </row>
    <row r="41" spans="1:10" ht="13.8" x14ac:dyDescent="0.25">
      <c r="A41" s="13"/>
      <c r="B41" s="13"/>
      <c r="C41" s="6"/>
      <c r="D41" s="6"/>
      <c r="E41" s="14" t="s">
        <v>27</v>
      </c>
      <c r="F41" s="15">
        <f>SUMIF(F9:F36,"Billable",H9:H36)</f>
        <v>0</v>
      </c>
      <c r="H41" s="38"/>
    </row>
    <row r="42" spans="1:10" ht="15" customHeight="1" thickBot="1" x14ac:dyDescent="0.3">
      <c r="A42" s="144" t="s">
        <v>28</v>
      </c>
      <c r="B42" s="144"/>
      <c r="C42" s="144"/>
      <c r="D42" s="16"/>
      <c r="E42" s="17" t="s">
        <v>29</v>
      </c>
      <c r="F42" s="18">
        <f>SUMIF(F9:F36,"Non-Billable",H9:H36)</f>
        <v>7.6673611111111137</v>
      </c>
      <c r="H42" s="40"/>
    </row>
    <row r="43" spans="1:10" ht="14.4" thickBot="1" x14ac:dyDescent="0.3">
      <c r="A43" s="2"/>
      <c r="B43" s="2"/>
      <c r="C43" s="2"/>
      <c r="D43" s="2"/>
      <c r="E43" s="19" t="s">
        <v>30</v>
      </c>
      <c r="F43" s="44">
        <f>F41+F42</f>
        <v>7.6673611111111137</v>
      </c>
      <c r="H43" s="40"/>
    </row>
    <row r="44" spans="1:10" ht="13.8" thickBot="1" x14ac:dyDescent="0.3">
      <c r="A44" s="2"/>
      <c r="B44" s="2"/>
      <c r="C44" s="2"/>
      <c r="D44" s="2"/>
      <c r="E44" s="2"/>
      <c r="F44" s="2"/>
      <c r="H44" s="40"/>
    </row>
    <row r="45" spans="1:10" ht="13.8" thickBot="1" x14ac:dyDescent="0.3">
      <c r="A45" s="2"/>
      <c r="B45" s="2"/>
      <c r="C45" s="2"/>
      <c r="D45" s="2"/>
      <c r="E45" s="20" t="s">
        <v>31</v>
      </c>
      <c r="F45" s="21"/>
      <c r="H45" s="40"/>
    </row>
    <row r="46" spans="1:10" ht="13.2" thickBot="1" x14ac:dyDescent="0.25">
      <c r="E46" s="39"/>
      <c r="H46" s="40"/>
    </row>
  </sheetData>
  <mergeCells count="2">
    <mergeCell ref="A40:C40"/>
    <mergeCell ref="A42:C4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37:E38 D40:E42 E45">
    <cfRule type="containsText" dxfId="22" priority="1" operator="containsText" text="Religious Leave">
      <formula>NOT(ISERROR(SEARCH("Religious Leave",D37)))</formula>
    </cfRule>
    <cfRule type="containsText" dxfId="21" priority="2" operator="containsText" text="Birthday Leave">
      <formula>NOT(ISERROR(SEARCH("Birthday Leave",D37)))</formula>
    </cfRule>
    <cfRule type="containsText" dxfId="20" priority="3" operator="containsText" text="Study Leave">
      <formula>NOT(ISERROR(SEARCH("Study Leave",D37)))</formula>
    </cfRule>
    <cfRule type="containsText" dxfId="19" priority="4" operator="containsText" text="Family Responsibility Leave">
      <formula>NOT(ISERROR(SEARCH("Family Responsibility Leave",D37)))</formula>
    </cfRule>
    <cfRule type="containsText" dxfId="18" priority="5" operator="containsText" text="Sick Leave">
      <formula>NOT(ISERROR(SEARCH("Sick Leave",D37)))</formula>
    </cfRule>
    <cfRule type="containsText" dxfId="17" priority="6" operator="containsText" text="Annual Leave">
      <formula>NOT(ISERROR(SEARCH("Annual Leave",D37)))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6"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F9:F36</xm:sqref>
        </x14:dataValidation>
        <x14:dataValidation type="list" allowBlank="1" showInputMessage="1" showErrorMessage="1" xr:uid="{B2DFC771-5C46-4C68-BCEC-AB576F2398A7}">
          <x14:formula1>
            <xm:f>Key!$B$2:$B$48</xm:f>
          </x14:formula1>
          <xm:sqref>C9:C36</xm:sqref>
        </x14:dataValidation>
        <x14:dataValidation type="list" allowBlank="1" showInputMessage="1" showErrorMessage="1" xr:uid="{55545D3E-18E2-4FBA-A7F1-0F256C99991F}">
          <x14:formula1>
            <xm:f>Key!$F$3:$F$54</xm:f>
          </x14:formula1>
          <xm:sqref>E9:E36</xm:sqref>
        </x14:dataValidation>
        <x14:dataValidation type="list" allowBlank="1" showInputMessage="1" showErrorMessage="1" xr:uid="{6375413B-0301-4C39-BE43-5A483338A0E5}">
          <x14:formula1>
            <xm:f>Key!$H$3:$H$62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O171"/>
  <sheetViews>
    <sheetView tabSelected="1" zoomScale="75" zoomScaleNormal="75" workbookViewId="0">
      <selection activeCell="A8" sqref="A8:J160"/>
    </sheetView>
  </sheetViews>
  <sheetFormatPr defaultColWidth="8.59765625" defaultRowHeight="12.6" x14ac:dyDescent="0.2"/>
  <cols>
    <col min="1" max="1" width="12" style="23" customWidth="1"/>
    <col min="2" max="2" width="13.09765625" style="23" customWidth="1"/>
    <col min="3" max="3" width="16.09765625" style="23" customWidth="1"/>
    <col min="4" max="5" width="20" style="23" customWidth="1"/>
    <col min="6" max="6" width="23.09765625" style="23" customWidth="1"/>
    <col min="7" max="7" width="34" style="23" customWidth="1"/>
    <col min="8" max="16384" width="8.59765625" style="23"/>
  </cols>
  <sheetData>
    <row r="5" spans="1:13" x14ac:dyDescent="0.2">
      <c r="A5" s="37" t="s">
        <v>0</v>
      </c>
      <c r="B5" s="23" t="s">
        <v>38</v>
      </c>
      <c r="C5" s="37"/>
      <c r="H5" s="40"/>
    </row>
    <row r="6" spans="1:13" x14ac:dyDescent="0.2">
      <c r="A6" s="37" t="s">
        <v>2</v>
      </c>
      <c r="B6" s="86">
        <f>F166</f>
        <v>0</v>
      </c>
      <c r="C6" s="37"/>
      <c r="D6" s="37"/>
      <c r="E6" s="37"/>
      <c r="H6" s="40"/>
      <c r="J6" s="41"/>
    </row>
    <row r="7" spans="1:13" x14ac:dyDescent="0.2">
      <c r="H7" s="40"/>
    </row>
    <row r="8" spans="1:13" ht="25.2" x14ac:dyDescent="0.2">
      <c r="A8" s="24" t="s">
        <v>3</v>
      </c>
      <c r="B8" s="25" t="s">
        <v>4</v>
      </c>
      <c r="C8" s="25" t="s">
        <v>5</v>
      </c>
      <c r="D8" s="25" t="s">
        <v>6</v>
      </c>
      <c r="E8" s="25" t="s">
        <v>7</v>
      </c>
      <c r="F8" s="25" t="s">
        <v>8</v>
      </c>
      <c r="G8" s="42" t="s">
        <v>9</v>
      </c>
      <c r="H8" s="26" t="s">
        <v>10</v>
      </c>
      <c r="I8" s="26" t="s">
        <v>11</v>
      </c>
      <c r="J8" s="43" t="s">
        <v>12</v>
      </c>
    </row>
    <row r="9" spans="1:13" x14ac:dyDescent="0.2">
      <c r="A9" s="31">
        <v>45717</v>
      </c>
      <c r="B9" s="31" t="s">
        <v>21</v>
      </c>
      <c r="C9" s="32"/>
      <c r="D9" s="32"/>
      <c r="E9" s="32"/>
      <c r="F9" s="32"/>
      <c r="G9" s="33"/>
      <c r="H9" s="34">
        <f>J9-I9</f>
        <v>0</v>
      </c>
      <c r="I9" s="35"/>
      <c r="J9" s="35"/>
    </row>
    <row r="10" spans="1:13" x14ac:dyDescent="0.2">
      <c r="A10" s="31">
        <v>45718</v>
      </c>
      <c r="B10" s="31" t="s">
        <v>22</v>
      </c>
      <c r="C10" s="32"/>
      <c r="D10" s="32"/>
      <c r="E10" s="32"/>
      <c r="F10" s="32"/>
      <c r="G10" s="33"/>
      <c r="H10" s="34">
        <f t="shared" ref="H10:H150" si="0">J10-I10</f>
        <v>0</v>
      </c>
      <c r="I10" s="35"/>
      <c r="J10" s="35"/>
    </row>
    <row r="11" spans="1:13" ht="50.4" x14ac:dyDescent="0.2">
      <c r="A11" s="22">
        <v>45719</v>
      </c>
      <c r="B11" s="22" t="s">
        <v>23</v>
      </c>
      <c r="C11" s="27" t="s">
        <v>14</v>
      </c>
      <c r="D11" s="27" t="s">
        <v>39</v>
      </c>
      <c r="E11" s="27" t="s">
        <v>40</v>
      </c>
      <c r="F11" s="27" t="s">
        <v>33</v>
      </c>
      <c r="G11" s="28" t="s">
        <v>63</v>
      </c>
      <c r="H11" s="29">
        <f t="shared" si="0"/>
        <v>4.1666666666666685E-2</v>
      </c>
      <c r="I11" s="30">
        <v>0.33333333333333331</v>
      </c>
      <c r="J11" s="30">
        <v>0.375</v>
      </c>
    </row>
    <row r="12" spans="1:13" ht="75.599999999999994" x14ac:dyDescent="0.2">
      <c r="A12" s="22">
        <v>45719</v>
      </c>
      <c r="B12" s="22" t="s">
        <v>23</v>
      </c>
      <c r="C12" s="27" t="s">
        <v>14</v>
      </c>
      <c r="D12" s="27" t="s">
        <v>39</v>
      </c>
      <c r="E12" s="27" t="s">
        <v>42</v>
      </c>
      <c r="F12" s="27" t="s">
        <v>33</v>
      </c>
      <c r="G12" s="28" t="s">
        <v>64</v>
      </c>
      <c r="H12" s="29">
        <f t="shared" si="0"/>
        <v>0.12638888888888888</v>
      </c>
      <c r="I12" s="30">
        <v>0.375</v>
      </c>
      <c r="J12" s="30">
        <v>0.50138888888888888</v>
      </c>
    </row>
    <row r="13" spans="1:13" x14ac:dyDescent="0.2">
      <c r="A13" s="22">
        <v>45719</v>
      </c>
      <c r="B13" s="22" t="s">
        <v>23</v>
      </c>
      <c r="C13" s="27" t="s">
        <v>14</v>
      </c>
      <c r="D13" s="27" t="s">
        <v>39</v>
      </c>
      <c r="E13" s="27" t="s">
        <v>65</v>
      </c>
      <c r="F13" s="27" t="s">
        <v>33</v>
      </c>
      <c r="G13" s="28" t="s">
        <v>66</v>
      </c>
      <c r="H13" s="29">
        <f t="shared" si="0"/>
        <v>4.166666666666663E-2</v>
      </c>
      <c r="I13" s="30">
        <v>0.50138888888888888</v>
      </c>
      <c r="J13" s="30">
        <v>0.54305555555555551</v>
      </c>
      <c r="M13" s="73"/>
    </row>
    <row r="14" spans="1:13" ht="50.4" x14ac:dyDescent="0.2">
      <c r="A14" s="22">
        <v>45719</v>
      </c>
      <c r="B14" s="22" t="s">
        <v>23</v>
      </c>
      <c r="C14" s="27" t="s">
        <v>14</v>
      </c>
      <c r="D14" s="27" t="s">
        <v>39</v>
      </c>
      <c r="E14" s="27" t="s">
        <v>42</v>
      </c>
      <c r="F14" s="27" t="s">
        <v>33</v>
      </c>
      <c r="G14" s="28" t="s">
        <v>67</v>
      </c>
      <c r="H14" s="29">
        <f t="shared" si="0"/>
        <v>4.0277777777777857E-2</v>
      </c>
      <c r="I14" s="30">
        <v>0.54305555555555551</v>
      </c>
      <c r="J14" s="30">
        <v>0.58333333333333337</v>
      </c>
    </row>
    <row r="15" spans="1:13" ht="25.2" x14ac:dyDescent="0.2">
      <c r="A15" s="22">
        <v>45719</v>
      </c>
      <c r="B15" s="22" t="s">
        <v>23</v>
      </c>
      <c r="C15" s="27" t="s">
        <v>14</v>
      </c>
      <c r="D15" s="27" t="s">
        <v>39</v>
      </c>
      <c r="E15" s="27" t="s">
        <v>40</v>
      </c>
      <c r="F15" s="27" t="s">
        <v>33</v>
      </c>
      <c r="G15" s="28" t="s">
        <v>68</v>
      </c>
      <c r="H15" s="29">
        <f t="shared" si="0"/>
        <v>4.166666666666663E-2</v>
      </c>
      <c r="I15" s="30">
        <v>0.58333333333333337</v>
      </c>
      <c r="J15" s="30">
        <v>0.625</v>
      </c>
    </row>
    <row r="16" spans="1:13" ht="50.4" x14ac:dyDescent="0.2">
      <c r="A16" s="22">
        <v>45719</v>
      </c>
      <c r="B16" s="22" t="s">
        <v>23</v>
      </c>
      <c r="C16" s="27" t="s">
        <v>14</v>
      </c>
      <c r="D16" s="27" t="s">
        <v>39</v>
      </c>
      <c r="E16" s="27" t="s">
        <v>42</v>
      </c>
      <c r="F16" s="27" t="s">
        <v>33</v>
      </c>
      <c r="G16" s="28" t="s">
        <v>67</v>
      </c>
      <c r="H16" s="29">
        <f t="shared" si="0"/>
        <v>4.166666666666663E-2</v>
      </c>
      <c r="I16" s="30">
        <v>0.625</v>
      </c>
      <c r="J16" s="112">
        <v>0.66666666666666663</v>
      </c>
    </row>
    <row r="17" spans="1:14" ht="37.799999999999997" x14ac:dyDescent="0.2">
      <c r="A17" s="22">
        <v>45719</v>
      </c>
      <c r="B17" s="22" t="s">
        <v>23</v>
      </c>
      <c r="C17" s="27" t="s">
        <v>14</v>
      </c>
      <c r="D17" s="27" t="s">
        <v>39</v>
      </c>
      <c r="E17" s="27" t="s">
        <v>40</v>
      </c>
      <c r="F17" s="27" t="s">
        <v>33</v>
      </c>
      <c r="G17" s="28" t="s">
        <v>69</v>
      </c>
      <c r="H17" s="29">
        <f t="shared" si="0"/>
        <v>6.5277777777777768E-2</v>
      </c>
      <c r="I17" s="30">
        <v>0.66666666666666663</v>
      </c>
      <c r="J17" s="112">
        <v>0.7319444444444444</v>
      </c>
    </row>
    <row r="18" spans="1:14" ht="50.4" x14ac:dyDescent="0.2">
      <c r="A18" s="22">
        <v>45720</v>
      </c>
      <c r="B18" s="22" t="s">
        <v>13</v>
      </c>
      <c r="C18" s="27" t="s">
        <v>14</v>
      </c>
      <c r="D18" s="27" t="s">
        <v>39</v>
      </c>
      <c r="E18" s="27" t="s">
        <v>40</v>
      </c>
      <c r="F18" s="27" t="s">
        <v>33</v>
      </c>
      <c r="G18" s="28" t="s">
        <v>70</v>
      </c>
      <c r="H18" s="29">
        <f t="shared" si="0"/>
        <v>4.5833333333333337E-2</v>
      </c>
      <c r="I18" s="30">
        <v>0.33333333333333331</v>
      </c>
      <c r="J18" s="30">
        <v>0.37916666666666665</v>
      </c>
    </row>
    <row r="19" spans="1:14" ht="126" x14ac:dyDescent="0.2">
      <c r="A19" s="22">
        <v>45720</v>
      </c>
      <c r="B19" s="22" t="s">
        <v>13</v>
      </c>
      <c r="C19" s="27" t="s">
        <v>14</v>
      </c>
      <c r="D19" s="27" t="s">
        <v>39</v>
      </c>
      <c r="E19" s="27" t="s">
        <v>42</v>
      </c>
      <c r="F19" s="27" t="s">
        <v>33</v>
      </c>
      <c r="G19" s="28" t="s">
        <v>71</v>
      </c>
      <c r="H19" s="29">
        <f t="shared" si="0"/>
        <v>5.4861111111111138E-2</v>
      </c>
      <c r="I19" s="30">
        <v>0.37916666666666665</v>
      </c>
      <c r="J19" s="30">
        <v>0.43402777777777779</v>
      </c>
    </row>
    <row r="20" spans="1:14" ht="25.2" x14ac:dyDescent="0.2">
      <c r="A20" s="22">
        <v>45720</v>
      </c>
      <c r="B20" s="22" t="s">
        <v>13</v>
      </c>
      <c r="C20" s="27" t="s">
        <v>14</v>
      </c>
      <c r="D20" s="27" t="s">
        <v>39</v>
      </c>
      <c r="E20" s="27" t="s">
        <v>40</v>
      </c>
      <c r="F20" s="27" t="s">
        <v>33</v>
      </c>
      <c r="G20" s="28" t="s">
        <v>72</v>
      </c>
      <c r="H20" s="29">
        <f t="shared" si="0"/>
        <v>2.4305555555555525E-2</v>
      </c>
      <c r="I20" s="30">
        <v>0.43402777777777779</v>
      </c>
      <c r="J20" s="30">
        <v>0.45833333333333331</v>
      </c>
      <c r="N20" s="73"/>
    </row>
    <row r="21" spans="1:14" ht="126" x14ac:dyDescent="0.2">
      <c r="A21" s="22">
        <v>45720</v>
      </c>
      <c r="B21" s="22" t="s">
        <v>13</v>
      </c>
      <c r="C21" s="27" t="s">
        <v>14</v>
      </c>
      <c r="D21" s="27" t="s">
        <v>39</v>
      </c>
      <c r="E21" s="27" t="s">
        <v>42</v>
      </c>
      <c r="F21" s="27" t="s">
        <v>33</v>
      </c>
      <c r="G21" s="28" t="s">
        <v>71</v>
      </c>
      <c r="H21" s="29">
        <f t="shared" si="0"/>
        <v>4.3055555555555569E-2</v>
      </c>
      <c r="I21" s="30">
        <v>0.45833333333333331</v>
      </c>
      <c r="J21" s="30">
        <v>0.50138888888888888</v>
      </c>
    </row>
    <row r="22" spans="1:14" x14ac:dyDescent="0.2">
      <c r="A22" s="22">
        <v>45720</v>
      </c>
      <c r="B22" s="22" t="s">
        <v>13</v>
      </c>
      <c r="C22" s="27" t="s">
        <v>14</v>
      </c>
      <c r="D22" s="27" t="s">
        <v>39</v>
      </c>
      <c r="E22" s="27" t="s">
        <v>65</v>
      </c>
      <c r="F22" s="27" t="s">
        <v>33</v>
      </c>
      <c r="G22" s="28" t="s">
        <v>66</v>
      </c>
      <c r="H22" s="29">
        <f t="shared" si="0"/>
        <v>4.166666666666663E-2</v>
      </c>
      <c r="I22" s="30">
        <v>0.50138888888888888</v>
      </c>
      <c r="J22" s="30">
        <v>0.54305555555555551</v>
      </c>
    </row>
    <row r="23" spans="1:14" ht="25.2" x14ac:dyDescent="0.2">
      <c r="A23" s="22">
        <v>45720</v>
      </c>
      <c r="B23" s="22" t="s">
        <v>13</v>
      </c>
      <c r="C23" s="27" t="s">
        <v>14</v>
      </c>
      <c r="D23" s="27" t="s">
        <v>39</v>
      </c>
      <c r="E23" s="27" t="s">
        <v>42</v>
      </c>
      <c r="F23" s="27" t="s">
        <v>33</v>
      </c>
      <c r="G23" s="28" t="s">
        <v>73</v>
      </c>
      <c r="H23" s="29">
        <f t="shared" si="0"/>
        <v>1.9444444444444486E-2</v>
      </c>
      <c r="I23" s="30">
        <v>0.54305555555555551</v>
      </c>
      <c r="J23" s="30">
        <v>0.5625</v>
      </c>
    </row>
    <row r="24" spans="1:14" ht="25.2" x14ac:dyDescent="0.2">
      <c r="A24" s="22">
        <v>45720</v>
      </c>
      <c r="B24" s="22" t="s">
        <v>13</v>
      </c>
      <c r="C24" s="27" t="s">
        <v>14</v>
      </c>
      <c r="D24" s="27" t="s">
        <v>39</v>
      </c>
      <c r="E24" s="27" t="s">
        <v>40</v>
      </c>
      <c r="F24" s="27" t="s">
        <v>33</v>
      </c>
      <c r="G24" s="28" t="s">
        <v>74</v>
      </c>
      <c r="H24" s="29">
        <f t="shared" si="0"/>
        <v>2.083333333333337E-2</v>
      </c>
      <c r="I24" s="30">
        <v>0.5625</v>
      </c>
      <c r="J24" s="30">
        <v>0.58333333333333337</v>
      </c>
    </row>
    <row r="25" spans="1:14" ht="25.2" x14ac:dyDescent="0.2">
      <c r="A25" s="22">
        <v>45720</v>
      </c>
      <c r="B25" s="22" t="s">
        <v>13</v>
      </c>
      <c r="C25" s="27" t="s">
        <v>14</v>
      </c>
      <c r="D25" s="27" t="s">
        <v>39</v>
      </c>
      <c r="E25" s="27" t="s">
        <v>42</v>
      </c>
      <c r="F25" s="27" t="s">
        <v>33</v>
      </c>
      <c r="G25" s="28" t="s">
        <v>73</v>
      </c>
      <c r="H25" s="29">
        <f t="shared" si="0"/>
        <v>8.3333333333333259E-2</v>
      </c>
      <c r="I25" s="30">
        <v>0.58333333333333337</v>
      </c>
      <c r="J25" s="30">
        <v>0.66666666666666663</v>
      </c>
      <c r="N25" s="73"/>
    </row>
    <row r="26" spans="1:14" ht="63" x14ac:dyDescent="0.2">
      <c r="A26" s="22">
        <v>45720</v>
      </c>
      <c r="B26" s="22" t="s">
        <v>13</v>
      </c>
      <c r="C26" s="27" t="s">
        <v>14</v>
      </c>
      <c r="D26" s="27" t="s">
        <v>39</v>
      </c>
      <c r="E26" s="27" t="s">
        <v>40</v>
      </c>
      <c r="F26" s="27" t="s">
        <v>33</v>
      </c>
      <c r="G26" s="28" t="s">
        <v>75</v>
      </c>
      <c r="H26" s="29">
        <f t="shared" si="0"/>
        <v>5.6944444444444464E-2</v>
      </c>
      <c r="I26" s="30">
        <v>0.66666666666666663</v>
      </c>
      <c r="J26" s="30">
        <v>0.72361111111111109</v>
      </c>
    </row>
    <row r="27" spans="1:14" ht="50.4" x14ac:dyDescent="0.2">
      <c r="A27" s="22">
        <v>45721</v>
      </c>
      <c r="B27" s="22" t="s">
        <v>18</v>
      </c>
      <c r="C27" s="27" t="s">
        <v>14</v>
      </c>
      <c r="D27" s="27" t="s">
        <v>39</v>
      </c>
      <c r="E27" s="27" t="s">
        <v>40</v>
      </c>
      <c r="F27" s="27" t="s">
        <v>33</v>
      </c>
      <c r="G27" s="28" t="s">
        <v>70</v>
      </c>
      <c r="H27" s="29">
        <f t="shared" si="0"/>
        <v>4.4444444444444453E-2</v>
      </c>
      <c r="I27" s="30">
        <v>0.33333333333333331</v>
      </c>
      <c r="J27" s="30">
        <v>0.37777777777777777</v>
      </c>
    </row>
    <row r="28" spans="1:14" ht="75.599999999999994" x14ac:dyDescent="0.2">
      <c r="A28" s="22">
        <v>45721</v>
      </c>
      <c r="B28" s="22" t="s">
        <v>18</v>
      </c>
      <c r="C28" s="27" t="s">
        <v>14</v>
      </c>
      <c r="D28" s="27" t="s">
        <v>39</v>
      </c>
      <c r="E28" s="27" t="s">
        <v>42</v>
      </c>
      <c r="F28" s="27" t="s">
        <v>33</v>
      </c>
      <c r="G28" s="28" t="s">
        <v>76</v>
      </c>
      <c r="H28" s="29">
        <f t="shared" si="0"/>
        <v>0.125</v>
      </c>
      <c r="I28" s="30">
        <v>0.37777777777777777</v>
      </c>
      <c r="J28" s="30">
        <v>0.50277777777777777</v>
      </c>
    </row>
    <row r="29" spans="1:14" x14ac:dyDescent="0.2">
      <c r="A29" s="22">
        <v>45721</v>
      </c>
      <c r="B29" s="22" t="s">
        <v>18</v>
      </c>
      <c r="C29" s="27" t="s">
        <v>14</v>
      </c>
      <c r="D29" s="27" t="s">
        <v>39</v>
      </c>
      <c r="E29" s="27" t="s">
        <v>65</v>
      </c>
      <c r="F29" s="27" t="s">
        <v>33</v>
      </c>
      <c r="G29" s="28" t="s">
        <v>77</v>
      </c>
      <c r="H29" s="29">
        <f t="shared" si="0"/>
        <v>4.166666666666663E-2</v>
      </c>
      <c r="I29" s="30">
        <v>0.50277777777777777</v>
      </c>
      <c r="J29" s="30">
        <v>0.5444444444444444</v>
      </c>
      <c r="N29" s="73"/>
    </row>
    <row r="30" spans="1:14" ht="25.2" x14ac:dyDescent="0.2">
      <c r="A30" s="22">
        <v>45721</v>
      </c>
      <c r="B30" s="22" t="s">
        <v>18</v>
      </c>
      <c r="C30" s="27" t="s">
        <v>14</v>
      </c>
      <c r="D30" s="27" t="s">
        <v>39</v>
      </c>
      <c r="E30" s="27" t="s">
        <v>78</v>
      </c>
      <c r="F30" s="27" t="s">
        <v>33</v>
      </c>
      <c r="G30" s="28" t="s">
        <v>79</v>
      </c>
      <c r="H30" s="29">
        <f t="shared" si="0"/>
        <v>0.12222222222222223</v>
      </c>
      <c r="I30" s="30">
        <v>0.5444444444444444</v>
      </c>
      <c r="J30" s="30">
        <v>0.66666666666666663</v>
      </c>
    </row>
    <row r="31" spans="1:14" ht="113.4" x14ac:dyDescent="0.2">
      <c r="A31" s="22">
        <v>45721</v>
      </c>
      <c r="B31" s="22" t="s">
        <v>18</v>
      </c>
      <c r="C31" s="27" t="s">
        <v>14</v>
      </c>
      <c r="D31" s="27" t="s">
        <v>39</v>
      </c>
      <c r="E31" s="27" t="s">
        <v>40</v>
      </c>
      <c r="F31" s="27" t="s">
        <v>33</v>
      </c>
      <c r="G31" s="28" t="s">
        <v>80</v>
      </c>
      <c r="H31" s="29">
        <f t="shared" si="0"/>
        <v>5.4166666666666696E-2</v>
      </c>
      <c r="I31" s="30">
        <v>0.66666666666666663</v>
      </c>
      <c r="J31" s="30">
        <v>0.72083333333333333</v>
      </c>
    </row>
    <row r="32" spans="1:14" ht="50.4" x14ac:dyDescent="0.2">
      <c r="A32" s="22">
        <v>45722</v>
      </c>
      <c r="B32" s="22" t="s">
        <v>19</v>
      </c>
      <c r="C32" s="27" t="s">
        <v>14</v>
      </c>
      <c r="D32" s="27" t="s">
        <v>39</v>
      </c>
      <c r="E32" s="27" t="s">
        <v>40</v>
      </c>
      <c r="F32" s="27" t="s">
        <v>33</v>
      </c>
      <c r="G32" s="28" t="s">
        <v>63</v>
      </c>
      <c r="H32" s="29">
        <f t="shared" si="0"/>
        <v>3.9583333333333359E-2</v>
      </c>
      <c r="I32" s="30">
        <v>0.33333333333333331</v>
      </c>
      <c r="J32" s="30">
        <v>0.37291666666666667</v>
      </c>
    </row>
    <row r="33" spans="1:15" ht="151.19999999999999" x14ac:dyDescent="0.2">
      <c r="A33" s="22">
        <v>45722</v>
      </c>
      <c r="B33" s="22" t="s">
        <v>19</v>
      </c>
      <c r="C33" s="27" t="s">
        <v>14</v>
      </c>
      <c r="D33" s="27" t="s">
        <v>39</v>
      </c>
      <c r="E33" s="27" t="s">
        <v>42</v>
      </c>
      <c r="F33" s="27" t="s">
        <v>33</v>
      </c>
      <c r="G33" s="28" t="s">
        <v>81</v>
      </c>
      <c r="H33" s="29">
        <f t="shared" si="0"/>
        <v>0.10625000000000001</v>
      </c>
      <c r="I33" s="30">
        <v>0.37291666666666667</v>
      </c>
      <c r="J33" s="30">
        <v>0.47916666666666669</v>
      </c>
      <c r="N33" s="111"/>
    </row>
    <row r="34" spans="1:15" ht="25.2" x14ac:dyDescent="0.2">
      <c r="A34" s="22">
        <v>45722</v>
      </c>
      <c r="B34" s="22" t="s">
        <v>19</v>
      </c>
      <c r="C34" s="27" t="s">
        <v>14</v>
      </c>
      <c r="D34" s="27" t="s">
        <v>39</v>
      </c>
      <c r="E34" s="27" t="s">
        <v>40</v>
      </c>
      <c r="F34" s="27" t="s">
        <v>33</v>
      </c>
      <c r="G34" s="28" t="s">
        <v>82</v>
      </c>
      <c r="H34" s="29">
        <f t="shared" si="0"/>
        <v>2.4305555555555525E-2</v>
      </c>
      <c r="I34" s="30">
        <v>0.47916666666666669</v>
      </c>
      <c r="J34" s="30">
        <v>0.50347222222222221</v>
      </c>
      <c r="N34" s="73"/>
    </row>
    <row r="35" spans="1:15" x14ac:dyDescent="0.2">
      <c r="A35" s="22">
        <v>45722</v>
      </c>
      <c r="B35" s="22" t="s">
        <v>19</v>
      </c>
      <c r="C35" s="27" t="s">
        <v>14</v>
      </c>
      <c r="D35" s="27" t="s">
        <v>39</v>
      </c>
      <c r="E35" s="27" t="s">
        <v>65</v>
      </c>
      <c r="F35" s="27" t="s">
        <v>33</v>
      </c>
      <c r="G35" s="28" t="s">
        <v>83</v>
      </c>
      <c r="H35" s="29">
        <f t="shared" si="0"/>
        <v>4.166666666666663E-2</v>
      </c>
      <c r="I35" s="30">
        <v>0.50347222222222221</v>
      </c>
      <c r="J35" s="30">
        <v>0.54513888888888884</v>
      </c>
    </row>
    <row r="36" spans="1:15" ht="25.2" x14ac:dyDescent="0.2">
      <c r="A36" s="22">
        <v>45722</v>
      </c>
      <c r="B36" s="22" t="s">
        <v>19</v>
      </c>
      <c r="C36" s="27" t="s">
        <v>14</v>
      </c>
      <c r="D36" s="27" t="s">
        <v>39</v>
      </c>
      <c r="E36" s="27" t="s">
        <v>78</v>
      </c>
      <c r="F36" s="27" t="s">
        <v>33</v>
      </c>
      <c r="G36" s="28" t="s">
        <v>79</v>
      </c>
      <c r="H36" s="29">
        <f t="shared" si="0"/>
        <v>0.12152777777777779</v>
      </c>
      <c r="I36" s="30">
        <v>0.54513888888888884</v>
      </c>
      <c r="J36" s="30">
        <v>0.66666666666666663</v>
      </c>
    </row>
    <row r="37" spans="1:15" ht="50.4" x14ac:dyDescent="0.2">
      <c r="A37" s="22">
        <v>45722</v>
      </c>
      <c r="B37" s="22" t="s">
        <v>19</v>
      </c>
      <c r="C37" s="27" t="s">
        <v>14</v>
      </c>
      <c r="D37" s="27" t="s">
        <v>39</v>
      </c>
      <c r="E37" s="27" t="s">
        <v>40</v>
      </c>
      <c r="F37" s="27" t="s">
        <v>33</v>
      </c>
      <c r="G37" s="28" t="s">
        <v>84</v>
      </c>
      <c r="H37" s="29">
        <f t="shared" si="0"/>
        <v>4.3750000000000067E-2</v>
      </c>
      <c r="I37" s="30">
        <v>0.66666666666666663</v>
      </c>
      <c r="J37" s="30">
        <v>0.7104166666666667</v>
      </c>
    </row>
    <row r="38" spans="1:15" ht="63" x14ac:dyDescent="0.2">
      <c r="A38" s="22">
        <v>45723</v>
      </c>
      <c r="B38" s="22" t="s">
        <v>20</v>
      </c>
      <c r="C38" s="27" t="s">
        <v>14</v>
      </c>
      <c r="D38" s="27" t="s">
        <v>39</v>
      </c>
      <c r="E38" s="27" t="s">
        <v>40</v>
      </c>
      <c r="F38" s="27" t="s">
        <v>33</v>
      </c>
      <c r="G38" s="28" t="s">
        <v>85</v>
      </c>
      <c r="H38" s="29">
        <f t="shared" si="0"/>
        <v>7.9861111111111105E-2</v>
      </c>
      <c r="I38" s="30">
        <v>0.33333333333333331</v>
      </c>
      <c r="J38" s="30">
        <v>0.41319444444444442</v>
      </c>
    </row>
    <row r="39" spans="1:15" ht="113.4" x14ac:dyDescent="0.2">
      <c r="A39" s="22">
        <v>45723</v>
      </c>
      <c r="B39" s="22" t="s">
        <v>20</v>
      </c>
      <c r="C39" s="27" t="s">
        <v>14</v>
      </c>
      <c r="D39" s="27" t="s">
        <v>39</v>
      </c>
      <c r="E39" s="27"/>
      <c r="F39" s="27" t="s">
        <v>33</v>
      </c>
      <c r="G39" s="28" t="s">
        <v>86</v>
      </c>
      <c r="H39" s="29">
        <f t="shared" si="0"/>
        <v>9.027777777777779E-2</v>
      </c>
      <c r="I39" s="30">
        <v>0.41319444444444442</v>
      </c>
      <c r="J39" s="30">
        <v>0.50347222222222221</v>
      </c>
      <c r="N39" s="111"/>
    </row>
    <row r="40" spans="1:15" x14ac:dyDescent="0.2">
      <c r="A40" s="22">
        <v>45723</v>
      </c>
      <c r="B40" s="22" t="s">
        <v>20</v>
      </c>
      <c r="C40" s="27" t="s">
        <v>14</v>
      </c>
      <c r="D40" s="27" t="s">
        <v>39</v>
      </c>
      <c r="E40" s="27" t="s">
        <v>65</v>
      </c>
      <c r="F40" s="27" t="s">
        <v>33</v>
      </c>
      <c r="G40" s="28" t="s">
        <v>87</v>
      </c>
      <c r="H40" s="29">
        <f>J40-I40</f>
        <v>4.166666666666663E-2</v>
      </c>
      <c r="I40" s="30">
        <v>0.50347222222222221</v>
      </c>
      <c r="J40" s="30">
        <v>0.54513888888888884</v>
      </c>
      <c r="N40" s="73"/>
      <c r="O40" s="111"/>
    </row>
    <row r="41" spans="1:15" ht="25.2" x14ac:dyDescent="0.2">
      <c r="A41" s="22">
        <v>45723</v>
      </c>
      <c r="B41" s="22" t="s">
        <v>20</v>
      </c>
      <c r="C41" s="27" t="s">
        <v>14</v>
      </c>
      <c r="D41" s="27" t="s">
        <v>39</v>
      </c>
      <c r="E41" s="27" t="s">
        <v>78</v>
      </c>
      <c r="F41" s="27" t="s">
        <v>33</v>
      </c>
      <c r="G41" s="28" t="s">
        <v>79</v>
      </c>
      <c r="H41" s="29">
        <f t="shared" si="0"/>
        <v>0.12152777777777779</v>
      </c>
      <c r="I41" s="30">
        <v>0.54513888888888884</v>
      </c>
      <c r="J41" s="30">
        <v>0.66666666666666663</v>
      </c>
    </row>
    <row r="42" spans="1:15" ht="113.4" x14ac:dyDescent="0.2">
      <c r="A42" s="22">
        <v>45723</v>
      </c>
      <c r="B42" s="22" t="s">
        <v>20</v>
      </c>
      <c r="C42" s="27" t="s">
        <v>14</v>
      </c>
      <c r="D42" s="27" t="s">
        <v>39</v>
      </c>
      <c r="E42" s="27" t="s">
        <v>40</v>
      </c>
      <c r="F42" s="27" t="s">
        <v>33</v>
      </c>
      <c r="G42" s="28" t="s">
        <v>88</v>
      </c>
      <c r="H42" s="29">
        <f t="shared" si="0"/>
        <v>0.12777777777777777</v>
      </c>
      <c r="I42" s="30">
        <v>0.66666666666666663</v>
      </c>
      <c r="J42" s="30">
        <v>0.7944444444444444</v>
      </c>
    </row>
    <row r="43" spans="1:15" x14ac:dyDescent="0.2">
      <c r="A43" s="31">
        <v>45724</v>
      </c>
      <c r="B43" s="31" t="s">
        <v>21</v>
      </c>
      <c r="C43" s="32"/>
      <c r="D43" s="32"/>
      <c r="E43" s="32"/>
      <c r="F43" s="32"/>
      <c r="G43" s="33"/>
      <c r="H43" s="34">
        <f t="shared" si="0"/>
        <v>0</v>
      </c>
      <c r="I43" s="35"/>
      <c r="J43" s="35"/>
    </row>
    <row r="44" spans="1:15" x14ac:dyDescent="0.2">
      <c r="A44" s="31">
        <v>45725</v>
      </c>
      <c r="B44" s="31" t="s">
        <v>22</v>
      </c>
      <c r="C44" s="32"/>
      <c r="D44" s="32"/>
      <c r="E44" s="32"/>
      <c r="F44" s="32"/>
      <c r="G44" s="33"/>
      <c r="H44" s="34">
        <f t="shared" si="0"/>
        <v>0</v>
      </c>
      <c r="I44" s="35"/>
      <c r="J44" s="35"/>
    </row>
    <row r="45" spans="1:15" ht="75.599999999999994" x14ac:dyDescent="0.2">
      <c r="A45" s="22">
        <v>45726</v>
      </c>
      <c r="B45" s="22" t="s">
        <v>23</v>
      </c>
      <c r="C45" s="27" t="s">
        <v>14</v>
      </c>
      <c r="D45" s="27" t="s">
        <v>39</v>
      </c>
      <c r="E45" s="27" t="s">
        <v>40</v>
      </c>
      <c r="F45" s="27" t="s">
        <v>33</v>
      </c>
      <c r="G45" s="28" t="s">
        <v>89</v>
      </c>
      <c r="H45" s="29">
        <f t="shared" si="0"/>
        <v>4.1666666666666685E-2</v>
      </c>
      <c r="I45" s="30">
        <v>0.33333333333333331</v>
      </c>
      <c r="J45" s="30">
        <v>0.375</v>
      </c>
    </row>
    <row r="46" spans="1:15" ht="63" x14ac:dyDescent="0.2">
      <c r="A46" s="22">
        <v>45726</v>
      </c>
      <c r="B46" s="22" t="s">
        <v>23</v>
      </c>
      <c r="C46" s="27" t="s">
        <v>14</v>
      </c>
      <c r="D46" s="27" t="s">
        <v>39</v>
      </c>
      <c r="E46" s="27" t="s">
        <v>78</v>
      </c>
      <c r="F46" s="27" t="s">
        <v>33</v>
      </c>
      <c r="G46" s="28" t="s">
        <v>90</v>
      </c>
      <c r="H46" s="29">
        <f t="shared" si="0"/>
        <v>8.3333333333333315E-2</v>
      </c>
      <c r="I46" s="30">
        <v>0.375</v>
      </c>
      <c r="J46" s="30">
        <v>0.45833333333333331</v>
      </c>
    </row>
    <row r="47" spans="1:15" ht="63" x14ac:dyDescent="0.2">
      <c r="A47" s="22">
        <v>45726</v>
      </c>
      <c r="B47" s="22" t="s">
        <v>23</v>
      </c>
      <c r="C47" s="27" t="s">
        <v>14</v>
      </c>
      <c r="D47" s="27" t="s">
        <v>39</v>
      </c>
      <c r="E47" s="27" t="s">
        <v>40</v>
      </c>
      <c r="F47" s="27" t="s">
        <v>33</v>
      </c>
      <c r="G47" s="28" t="s">
        <v>91</v>
      </c>
      <c r="H47" s="29">
        <f t="shared" si="0"/>
        <v>2.777777777777779E-2</v>
      </c>
      <c r="I47" s="30">
        <v>0.45833333333333331</v>
      </c>
      <c r="J47" s="30">
        <v>0.4861111111111111</v>
      </c>
    </row>
    <row r="48" spans="1:15" ht="75.599999999999994" x14ac:dyDescent="0.2">
      <c r="A48" s="22">
        <v>45726</v>
      </c>
      <c r="B48" s="22" t="s">
        <v>23</v>
      </c>
      <c r="C48" s="27" t="s">
        <v>14</v>
      </c>
      <c r="D48" s="27" t="s">
        <v>39</v>
      </c>
      <c r="E48" s="27" t="s">
        <v>78</v>
      </c>
      <c r="F48" s="27" t="s">
        <v>33</v>
      </c>
      <c r="G48" s="28" t="s">
        <v>92</v>
      </c>
      <c r="H48" s="29">
        <f t="shared" si="0"/>
        <v>1.7361111111111105E-2</v>
      </c>
      <c r="I48" s="30">
        <v>0.4861111111111111</v>
      </c>
      <c r="J48" s="30">
        <v>0.50347222222222221</v>
      </c>
    </row>
    <row r="49" spans="1:13" x14ac:dyDescent="0.2">
      <c r="A49" s="22">
        <v>45726</v>
      </c>
      <c r="B49" s="22" t="s">
        <v>23</v>
      </c>
      <c r="C49" s="27" t="s">
        <v>14</v>
      </c>
      <c r="D49" s="27" t="s">
        <v>39</v>
      </c>
      <c r="E49" s="27" t="s">
        <v>65</v>
      </c>
      <c r="F49" s="27" t="s">
        <v>33</v>
      </c>
      <c r="G49" s="28" t="s">
        <v>83</v>
      </c>
      <c r="H49" s="29">
        <f t="shared" si="0"/>
        <v>4.166666666666663E-2</v>
      </c>
      <c r="I49" s="30">
        <v>0.50347222222222221</v>
      </c>
      <c r="J49" s="30">
        <v>0.54513888888888884</v>
      </c>
    </row>
    <row r="50" spans="1:13" ht="100.8" x14ac:dyDescent="0.2">
      <c r="A50" s="22">
        <v>45726</v>
      </c>
      <c r="B50" s="22" t="s">
        <v>23</v>
      </c>
      <c r="C50" s="27" t="s">
        <v>14</v>
      </c>
      <c r="D50" s="27" t="s">
        <v>39</v>
      </c>
      <c r="E50" s="27" t="s">
        <v>78</v>
      </c>
      <c r="F50" s="27" t="s">
        <v>33</v>
      </c>
      <c r="G50" s="28" t="s">
        <v>93</v>
      </c>
      <c r="H50" s="29">
        <f t="shared" si="0"/>
        <v>7.986111111111116E-2</v>
      </c>
      <c r="I50" s="30">
        <v>0.54513888888888884</v>
      </c>
      <c r="J50" s="30">
        <v>0.625</v>
      </c>
    </row>
    <row r="51" spans="1:13" ht="37.799999999999997" x14ac:dyDescent="0.2">
      <c r="A51" s="22">
        <v>45726</v>
      </c>
      <c r="B51" s="22" t="s">
        <v>23</v>
      </c>
      <c r="C51" s="27" t="s">
        <v>14</v>
      </c>
      <c r="D51" s="27" t="s">
        <v>39</v>
      </c>
      <c r="E51" s="27" t="s">
        <v>40</v>
      </c>
      <c r="F51" s="27" t="s">
        <v>33</v>
      </c>
      <c r="G51" s="28" t="s">
        <v>94</v>
      </c>
      <c r="H51" s="29">
        <f t="shared" si="0"/>
        <v>4.166666666666663E-2</v>
      </c>
      <c r="I51" s="30">
        <v>0.625</v>
      </c>
      <c r="J51" s="30">
        <v>0.66666666666666663</v>
      </c>
    </row>
    <row r="52" spans="1:13" ht="126" x14ac:dyDescent="0.2">
      <c r="A52" s="22">
        <v>45726</v>
      </c>
      <c r="B52" s="22" t="s">
        <v>23</v>
      </c>
      <c r="C52" s="27" t="s">
        <v>14</v>
      </c>
      <c r="D52" s="27" t="s">
        <v>39</v>
      </c>
      <c r="E52" s="27" t="s">
        <v>40</v>
      </c>
      <c r="F52" s="27" t="s">
        <v>33</v>
      </c>
      <c r="G52" s="28" t="s">
        <v>95</v>
      </c>
      <c r="H52" s="29">
        <f t="shared" si="0"/>
        <v>6.3888888888888884E-2</v>
      </c>
      <c r="I52" s="30">
        <v>0.66666666666666663</v>
      </c>
      <c r="J52" s="30">
        <v>0.73055555555555551</v>
      </c>
    </row>
    <row r="53" spans="1:13" ht="64.95" customHeight="1" x14ac:dyDescent="0.2">
      <c r="A53" s="22">
        <v>45727</v>
      </c>
      <c r="B53" s="22" t="s">
        <v>13</v>
      </c>
      <c r="C53" s="27" t="s">
        <v>14</v>
      </c>
      <c r="D53" s="27" t="s">
        <v>39</v>
      </c>
      <c r="E53" s="27" t="s">
        <v>40</v>
      </c>
      <c r="F53" s="27" t="s">
        <v>33</v>
      </c>
      <c r="G53" s="28" t="s">
        <v>89</v>
      </c>
      <c r="H53" s="29">
        <f t="shared" si="0"/>
        <v>3.6805555555555591E-2</v>
      </c>
      <c r="I53" s="30">
        <v>0.33333333333333331</v>
      </c>
      <c r="J53" s="30">
        <v>0.37013888888888891</v>
      </c>
    </row>
    <row r="54" spans="1:13" ht="100.8" x14ac:dyDescent="0.2">
      <c r="A54" s="22">
        <v>45727</v>
      </c>
      <c r="B54" s="22" t="s">
        <v>13</v>
      </c>
      <c r="C54" s="27" t="s">
        <v>14</v>
      </c>
      <c r="D54" s="27" t="s">
        <v>39</v>
      </c>
      <c r="E54" s="27" t="s">
        <v>78</v>
      </c>
      <c r="F54" s="27" t="s">
        <v>33</v>
      </c>
      <c r="G54" s="28" t="s">
        <v>96</v>
      </c>
      <c r="H54" s="29">
        <f t="shared" si="0"/>
        <v>0.13402777777777775</v>
      </c>
      <c r="I54" s="30">
        <v>0.37013888888888891</v>
      </c>
      <c r="J54" s="30">
        <v>0.50416666666666665</v>
      </c>
    </row>
    <row r="55" spans="1:13" ht="12" customHeight="1" x14ac:dyDescent="0.2">
      <c r="A55" s="133">
        <v>45727</v>
      </c>
      <c r="B55" s="133" t="s">
        <v>13</v>
      </c>
      <c r="C55" s="134" t="s">
        <v>14</v>
      </c>
      <c r="D55" s="134" t="s">
        <v>39</v>
      </c>
      <c r="E55" s="134" t="s">
        <v>65</v>
      </c>
      <c r="F55" s="134" t="s">
        <v>33</v>
      </c>
      <c r="G55" s="135" t="s">
        <v>97</v>
      </c>
      <c r="H55" s="136">
        <f t="shared" si="0"/>
        <v>4.0972222222222188E-2</v>
      </c>
      <c r="I55" s="137">
        <v>0.50416666666666665</v>
      </c>
      <c r="J55" s="137">
        <v>0.54513888888888884</v>
      </c>
      <c r="M55" s="73"/>
    </row>
    <row r="56" spans="1:13" ht="100.8" x14ac:dyDescent="0.2">
      <c r="A56" s="138">
        <v>45727</v>
      </c>
      <c r="B56" s="138" t="s">
        <v>13</v>
      </c>
      <c r="C56" s="139" t="s">
        <v>14</v>
      </c>
      <c r="D56" s="139" t="s">
        <v>39</v>
      </c>
      <c r="E56" s="139" t="s">
        <v>78</v>
      </c>
      <c r="F56" s="139" t="s">
        <v>33</v>
      </c>
      <c r="G56" s="140" t="s">
        <v>98</v>
      </c>
      <c r="H56" s="141">
        <f t="shared" si="0"/>
        <v>0.12152777777777779</v>
      </c>
      <c r="I56" s="142">
        <v>0.54513888888888884</v>
      </c>
      <c r="J56" s="142">
        <v>0.66666666666666663</v>
      </c>
    </row>
    <row r="57" spans="1:13" ht="126" x14ac:dyDescent="0.2">
      <c r="A57" s="128">
        <v>45727</v>
      </c>
      <c r="B57" s="128" t="s">
        <v>13</v>
      </c>
      <c r="C57" s="129" t="s">
        <v>14</v>
      </c>
      <c r="D57" s="129" t="s">
        <v>39</v>
      </c>
      <c r="E57" s="129" t="s">
        <v>40</v>
      </c>
      <c r="F57" s="129" t="s">
        <v>33</v>
      </c>
      <c r="G57" s="130" t="s">
        <v>95</v>
      </c>
      <c r="H57" s="131">
        <f t="shared" si="0"/>
        <v>6.6666666666666652E-2</v>
      </c>
      <c r="I57" s="132">
        <v>0.66666666666666663</v>
      </c>
      <c r="J57" s="132">
        <v>0.73333333333333328</v>
      </c>
    </row>
    <row r="58" spans="1:13" ht="75.599999999999994" x14ac:dyDescent="0.2">
      <c r="A58" s="123">
        <v>45728</v>
      </c>
      <c r="B58" s="123" t="s">
        <v>18</v>
      </c>
      <c r="C58" s="124" t="s">
        <v>14</v>
      </c>
      <c r="D58" s="124" t="s">
        <v>39</v>
      </c>
      <c r="E58" s="124" t="s">
        <v>40</v>
      </c>
      <c r="F58" s="124" t="s">
        <v>33</v>
      </c>
      <c r="G58" s="125" t="s">
        <v>99</v>
      </c>
      <c r="H58" s="126">
        <f t="shared" si="0"/>
        <v>1.3888888888888895E-2</v>
      </c>
      <c r="I58" s="127">
        <v>0.33333333333333331</v>
      </c>
      <c r="J58" s="127">
        <v>0.34722222222222221</v>
      </c>
      <c r="M58" s="73"/>
    </row>
    <row r="59" spans="1:13" ht="138.6" x14ac:dyDescent="0.2">
      <c r="A59" s="22">
        <v>45728</v>
      </c>
      <c r="B59" s="22" t="s">
        <v>18</v>
      </c>
      <c r="C59" s="27" t="s">
        <v>14</v>
      </c>
      <c r="D59" s="27" t="s">
        <v>39</v>
      </c>
      <c r="E59" s="27" t="s">
        <v>78</v>
      </c>
      <c r="F59" s="27" t="s">
        <v>33</v>
      </c>
      <c r="G59" s="28" t="s">
        <v>100</v>
      </c>
      <c r="H59" s="29">
        <f t="shared" si="0"/>
        <v>0.1111111111111111</v>
      </c>
      <c r="I59" s="30">
        <v>0.34722222222222221</v>
      </c>
      <c r="J59" s="30">
        <v>0.45833333333333331</v>
      </c>
      <c r="M59" s="73"/>
    </row>
    <row r="60" spans="1:13" ht="37.799999999999997" x14ac:dyDescent="0.2">
      <c r="A60" s="22">
        <v>45728</v>
      </c>
      <c r="B60" s="22" t="s">
        <v>18</v>
      </c>
      <c r="C60" s="27" t="s">
        <v>14</v>
      </c>
      <c r="D60" s="27" t="s">
        <v>39</v>
      </c>
      <c r="E60" s="27" t="s">
        <v>40</v>
      </c>
      <c r="F60" s="27" t="s">
        <v>33</v>
      </c>
      <c r="G60" s="28" t="s">
        <v>101</v>
      </c>
      <c r="H60" s="29">
        <f t="shared" si="0"/>
        <v>4.5138888888888895E-2</v>
      </c>
      <c r="I60" s="30">
        <v>0.45833333333333331</v>
      </c>
      <c r="J60" s="30">
        <v>0.50347222222222221</v>
      </c>
      <c r="M60" s="73"/>
    </row>
    <row r="61" spans="1:13" x14ac:dyDescent="0.2">
      <c r="A61" s="22">
        <v>45728</v>
      </c>
      <c r="B61" s="22" t="s">
        <v>18</v>
      </c>
      <c r="C61" s="27" t="s">
        <v>14</v>
      </c>
      <c r="D61" s="27" t="s">
        <v>39</v>
      </c>
      <c r="E61" s="27" t="s">
        <v>65</v>
      </c>
      <c r="F61" s="27" t="s">
        <v>33</v>
      </c>
      <c r="G61" s="27" t="s">
        <v>102</v>
      </c>
      <c r="H61" s="29">
        <f t="shared" si="0"/>
        <v>4.166666666666663E-2</v>
      </c>
      <c r="I61" s="112">
        <v>0.50347222222222221</v>
      </c>
      <c r="J61" s="112">
        <v>0.54513888888888884</v>
      </c>
      <c r="M61" s="73"/>
    </row>
    <row r="62" spans="1:13" ht="100.8" x14ac:dyDescent="0.2">
      <c r="A62" s="22">
        <v>45728</v>
      </c>
      <c r="B62" s="22" t="s">
        <v>18</v>
      </c>
      <c r="C62" s="27" t="s">
        <v>14</v>
      </c>
      <c r="D62" s="27" t="s">
        <v>39</v>
      </c>
      <c r="E62" s="27" t="s">
        <v>78</v>
      </c>
      <c r="F62" s="27" t="s">
        <v>33</v>
      </c>
      <c r="G62" s="28" t="s">
        <v>98</v>
      </c>
      <c r="H62" s="29">
        <f t="shared" si="0"/>
        <v>0.12152777777777779</v>
      </c>
      <c r="I62" s="112">
        <v>0.54513888888888884</v>
      </c>
      <c r="J62" s="112">
        <v>0.66666666666666663</v>
      </c>
    </row>
    <row r="63" spans="1:13" ht="126" x14ac:dyDescent="0.2">
      <c r="A63" s="22">
        <v>45728</v>
      </c>
      <c r="B63" s="22" t="s">
        <v>18</v>
      </c>
      <c r="C63" s="27" t="s">
        <v>14</v>
      </c>
      <c r="D63" s="27" t="s">
        <v>39</v>
      </c>
      <c r="E63" s="27" t="s">
        <v>40</v>
      </c>
      <c r="F63" s="27" t="s">
        <v>33</v>
      </c>
      <c r="G63" s="40" t="s">
        <v>103</v>
      </c>
      <c r="H63" s="29">
        <f t="shared" si="0"/>
        <v>9.722222222222221E-2</v>
      </c>
      <c r="I63" s="30">
        <v>0.66666666666666663</v>
      </c>
      <c r="J63" s="30">
        <v>0.76388888888888884</v>
      </c>
      <c r="M63" s="73"/>
    </row>
    <row r="64" spans="1:13" ht="75.599999999999994" x14ac:dyDescent="0.2">
      <c r="A64" s="22">
        <v>45729</v>
      </c>
      <c r="B64" s="22" t="s">
        <v>19</v>
      </c>
      <c r="C64" s="27" t="s">
        <v>14</v>
      </c>
      <c r="D64" s="27" t="s">
        <v>39</v>
      </c>
      <c r="E64" s="27"/>
      <c r="F64" s="27" t="s">
        <v>33</v>
      </c>
      <c r="G64" s="28" t="s">
        <v>104</v>
      </c>
      <c r="H64" s="29">
        <f t="shared" si="0"/>
        <v>1.3888888888888895E-2</v>
      </c>
      <c r="I64" s="30">
        <v>0.33333333333333331</v>
      </c>
      <c r="J64" s="30">
        <v>0.34722222222222221</v>
      </c>
    </row>
    <row r="65" spans="1:13" ht="151.19999999999999" x14ac:dyDescent="0.2">
      <c r="A65" s="22">
        <v>45729</v>
      </c>
      <c r="B65" s="22" t="s">
        <v>19</v>
      </c>
      <c r="C65" s="27" t="s">
        <v>14</v>
      </c>
      <c r="D65" s="27" t="s">
        <v>39</v>
      </c>
      <c r="E65" s="27" t="s">
        <v>78</v>
      </c>
      <c r="F65" s="27" t="s">
        <v>33</v>
      </c>
      <c r="G65" s="28" t="s">
        <v>105</v>
      </c>
      <c r="H65" s="29">
        <f t="shared" si="0"/>
        <v>0.1111111111111111</v>
      </c>
      <c r="I65" s="30">
        <v>0.34722222222222221</v>
      </c>
      <c r="J65" s="30">
        <v>0.45833333333333331</v>
      </c>
    </row>
    <row r="66" spans="1:13" ht="37.799999999999997" x14ac:dyDescent="0.2">
      <c r="A66" s="22">
        <v>45729</v>
      </c>
      <c r="B66" s="22" t="s">
        <v>19</v>
      </c>
      <c r="C66" s="27" t="s">
        <v>14</v>
      </c>
      <c r="D66" s="27" t="s">
        <v>39</v>
      </c>
      <c r="E66" s="27" t="s">
        <v>40</v>
      </c>
      <c r="F66" s="27" t="s">
        <v>33</v>
      </c>
      <c r="G66" s="28" t="s">
        <v>106</v>
      </c>
      <c r="H66" s="29">
        <f t="shared" si="0"/>
        <v>4.3750000000000011E-2</v>
      </c>
      <c r="I66" s="30">
        <v>0.45833333333333331</v>
      </c>
      <c r="J66" s="30">
        <v>0.50208333333333333</v>
      </c>
    </row>
    <row r="67" spans="1:13" x14ac:dyDescent="0.2">
      <c r="A67" s="22">
        <v>45729</v>
      </c>
      <c r="B67" s="22" t="s">
        <v>19</v>
      </c>
      <c r="C67" s="27" t="s">
        <v>14</v>
      </c>
      <c r="D67" s="27" t="s">
        <v>39</v>
      </c>
      <c r="E67" s="27" t="s">
        <v>65</v>
      </c>
      <c r="F67" s="27" t="s">
        <v>33</v>
      </c>
      <c r="G67" s="28" t="s">
        <v>107</v>
      </c>
      <c r="H67" s="29">
        <f t="shared" si="0"/>
        <v>4.166666666666663E-2</v>
      </c>
      <c r="I67" s="30">
        <v>0.50208333333333333</v>
      </c>
      <c r="J67" s="30">
        <v>0.54374999999999996</v>
      </c>
    </row>
    <row r="68" spans="1:13" ht="75.599999999999994" x14ac:dyDescent="0.2">
      <c r="A68" s="22">
        <v>45729</v>
      </c>
      <c r="B68" s="22" t="s">
        <v>19</v>
      </c>
      <c r="C68" s="27" t="s">
        <v>14</v>
      </c>
      <c r="D68" s="27" t="s">
        <v>39</v>
      </c>
      <c r="E68" s="23" t="s">
        <v>78</v>
      </c>
      <c r="F68" s="27" t="s">
        <v>33</v>
      </c>
      <c r="G68" s="28" t="s">
        <v>108</v>
      </c>
      <c r="H68" s="29">
        <f t="shared" si="0"/>
        <v>0.12291666666666667</v>
      </c>
      <c r="I68" s="30">
        <v>0.54374999999999996</v>
      </c>
      <c r="J68" s="30">
        <v>0.66666666666666663</v>
      </c>
    </row>
    <row r="69" spans="1:13" ht="50.4" x14ac:dyDescent="0.2">
      <c r="A69" s="22">
        <v>45729</v>
      </c>
      <c r="B69" s="22" t="s">
        <v>19</v>
      </c>
      <c r="C69" s="27" t="s">
        <v>14</v>
      </c>
      <c r="D69" s="27" t="s">
        <v>39</v>
      </c>
      <c r="E69" s="27" t="s">
        <v>40</v>
      </c>
      <c r="F69" s="27" t="s">
        <v>33</v>
      </c>
      <c r="G69" s="28" t="s">
        <v>109</v>
      </c>
      <c r="H69" s="29">
        <f t="shared" si="0"/>
        <v>2.083333333333337E-2</v>
      </c>
      <c r="I69" s="30">
        <v>0.66666666666666663</v>
      </c>
      <c r="J69" s="30">
        <v>0.6875</v>
      </c>
    </row>
    <row r="70" spans="1:13" ht="25.2" x14ac:dyDescent="0.2">
      <c r="A70" s="22">
        <v>45729</v>
      </c>
      <c r="B70" s="22" t="s">
        <v>19</v>
      </c>
      <c r="C70" s="27" t="s">
        <v>14</v>
      </c>
      <c r="D70" s="27" t="s">
        <v>39</v>
      </c>
      <c r="E70" s="27" t="s">
        <v>40</v>
      </c>
      <c r="F70" s="27" t="s">
        <v>33</v>
      </c>
      <c r="G70" s="28" t="s">
        <v>110</v>
      </c>
      <c r="H70" s="29">
        <f t="shared" si="0"/>
        <v>5.1388888888888928E-2</v>
      </c>
      <c r="I70" s="30">
        <v>0.6875</v>
      </c>
      <c r="J70" s="30">
        <v>0.73888888888888893</v>
      </c>
    </row>
    <row r="71" spans="1:13" ht="37.799999999999997" x14ac:dyDescent="0.2">
      <c r="A71" s="22">
        <v>45729</v>
      </c>
      <c r="B71" s="22" t="s">
        <v>19</v>
      </c>
      <c r="C71" s="27" t="s">
        <v>14</v>
      </c>
      <c r="D71" s="27" t="s">
        <v>39</v>
      </c>
      <c r="E71" s="27" t="s">
        <v>40</v>
      </c>
      <c r="F71" s="27" t="s">
        <v>33</v>
      </c>
      <c r="G71" s="28" t="s">
        <v>111</v>
      </c>
      <c r="H71" s="29">
        <f t="shared" si="0"/>
        <v>1.4583333333333282E-2</v>
      </c>
      <c r="I71" s="30">
        <v>0.73888888888888893</v>
      </c>
      <c r="J71" s="30">
        <v>0.75347222222222221</v>
      </c>
      <c r="L71" s="73"/>
    </row>
    <row r="72" spans="1:13" ht="75.599999999999994" x14ac:dyDescent="0.2">
      <c r="A72" s="22">
        <v>45730</v>
      </c>
      <c r="B72" s="22" t="s">
        <v>20</v>
      </c>
      <c r="C72" s="27" t="s">
        <v>14</v>
      </c>
      <c r="D72" s="27" t="s">
        <v>39</v>
      </c>
      <c r="E72" s="27" t="s">
        <v>40</v>
      </c>
      <c r="F72" s="27" t="s">
        <v>33</v>
      </c>
      <c r="G72" s="28" t="s">
        <v>112</v>
      </c>
      <c r="H72" s="29">
        <f t="shared" si="0"/>
        <v>1.4583333333333337E-2</v>
      </c>
      <c r="I72" s="30">
        <v>0.33333333333333331</v>
      </c>
      <c r="J72" s="30">
        <v>0.34791666666666665</v>
      </c>
    </row>
    <row r="73" spans="1:13" ht="163.80000000000001" x14ac:dyDescent="0.2">
      <c r="A73" s="22">
        <v>45730</v>
      </c>
      <c r="B73" s="22" t="s">
        <v>20</v>
      </c>
      <c r="C73" s="27" t="s">
        <v>14</v>
      </c>
      <c r="D73" s="27" t="s">
        <v>39</v>
      </c>
      <c r="E73" s="27" t="s">
        <v>78</v>
      </c>
      <c r="F73" s="27" t="s">
        <v>33</v>
      </c>
      <c r="G73" s="28" t="s">
        <v>113</v>
      </c>
      <c r="H73" s="29">
        <f t="shared" si="0"/>
        <v>8.9583333333333348E-2</v>
      </c>
      <c r="I73" s="30">
        <v>0.34791666666666665</v>
      </c>
      <c r="J73" s="30">
        <v>0.4375</v>
      </c>
    </row>
    <row r="74" spans="1:13" ht="25.2" x14ac:dyDescent="0.2">
      <c r="A74" s="22">
        <v>45730</v>
      </c>
      <c r="B74" s="22" t="s">
        <v>20</v>
      </c>
      <c r="C74" s="27" t="s">
        <v>14</v>
      </c>
      <c r="D74" s="27" t="s">
        <v>39</v>
      </c>
      <c r="E74" s="27" t="s">
        <v>40</v>
      </c>
      <c r="F74" s="27" t="s">
        <v>33</v>
      </c>
      <c r="G74" s="28" t="s">
        <v>114</v>
      </c>
      <c r="H74" s="29">
        <f t="shared" si="0"/>
        <v>2.0833333333333315E-2</v>
      </c>
      <c r="I74" s="30">
        <v>0.4375</v>
      </c>
      <c r="J74" s="30">
        <v>0.45833333333333331</v>
      </c>
    </row>
    <row r="75" spans="1:13" ht="37.799999999999997" x14ac:dyDescent="0.2">
      <c r="A75" s="22">
        <v>45730</v>
      </c>
      <c r="B75" s="22" t="s">
        <v>20</v>
      </c>
      <c r="C75" s="27" t="s">
        <v>14</v>
      </c>
      <c r="D75" s="27" t="s">
        <v>39</v>
      </c>
      <c r="E75" s="27" t="s">
        <v>40</v>
      </c>
      <c r="F75" s="27" t="s">
        <v>33</v>
      </c>
      <c r="G75" s="28" t="s">
        <v>115</v>
      </c>
      <c r="H75" s="29">
        <f t="shared" si="0"/>
        <v>5.1388888888888873E-2</v>
      </c>
      <c r="I75" s="30">
        <v>0.45833333333333331</v>
      </c>
      <c r="J75" s="30">
        <v>0.50972222222222219</v>
      </c>
    </row>
    <row r="76" spans="1:13" x14ac:dyDescent="0.2">
      <c r="A76" s="22">
        <v>45730</v>
      </c>
      <c r="B76" s="22" t="s">
        <v>20</v>
      </c>
      <c r="C76" s="27" t="s">
        <v>14</v>
      </c>
      <c r="D76" s="27" t="s">
        <v>39</v>
      </c>
      <c r="E76" s="27" t="s">
        <v>65</v>
      </c>
      <c r="F76" s="27" t="s">
        <v>33</v>
      </c>
      <c r="G76" s="28" t="s">
        <v>102</v>
      </c>
      <c r="H76" s="29">
        <f t="shared" si="0"/>
        <v>4.1666666666666741E-2</v>
      </c>
      <c r="I76" s="30">
        <v>0.50972222222222219</v>
      </c>
      <c r="J76" s="30">
        <v>0.55138888888888893</v>
      </c>
    </row>
    <row r="77" spans="1:13" ht="50.4" x14ac:dyDescent="0.2">
      <c r="A77" s="22">
        <v>45730</v>
      </c>
      <c r="B77" s="22" t="s">
        <v>20</v>
      </c>
      <c r="C77" s="27" t="s">
        <v>14</v>
      </c>
      <c r="D77" s="27" t="s">
        <v>39</v>
      </c>
      <c r="E77" s="27" t="s">
        <v>78</v>
      </c>
      <c r="F77" s="27" t="s">
        <v>33</v>
      </c>
      <c r="G77" s="28" t="s">
        <v>116</v>
      </c>
      <c r="H77" s="29">
        <f t="shared" si="0"/>
        <v>1.1111111111111072E-2</v>
      </c>
      <c r="I77" s="30">
        <v>0.55138888888888893</v>
      </c>
      <c r="J77" s="30">
        <v>0.5625</v>
      </c>
    </row>
    <row r="78" spans="1:13" x14ac:dyDescent="0.2">
      <c r="A78" s="22">
        <v>45730</v>
      </c>
      <c r="B78" s="22" t="s">
        <v>20</v>
      </c>
      <c r="C78" s="27" t="s">
        <v>14</v>
      </c>
      <c r="D78" s="27" t="s">
        <v>39</v>
      </c>
      <c r="E78" s="27" t="s">
        <v>40</v>
      </c>
      <c r="F78" s="27" t="s">
        <v>33</v>
      </c>
      <c r="G78" s="28" t="s">
        <v>117</v>
      </c>
      <c r="H78" s="29">
        <f t="shared" si="0"/>
        <v>4.166666666666663E-2</v>
      </c>
      <c r="I78" s="30">
        <v>0.5625</v>
      </c>
      <c r="J78" s="30">
        <v>0.60416666666666663</v>
      </c>
      <c r="M78" s="73"/>
    </row>
    <row r="79" spans="1:13" ht="63" x14ac:dyDescent="0.2">
      <c r="A79" s="22">
        <v>45730</v>
      </c>
      <c r="B79" s="22" t="s">
        <v>20</v>
      </c>
      <c r="C79" s="27" t="s">
        <v>14</v>
      </c>
      <c r="D79" s="27" t="s">
        <v>39</v>
      </c>
      <c r="E79" s="27" t="s">
        <v>78</v>
      </c>
      <c r="F79" s="27" t="s">
        <v>33</v>
      </c>
      <c r="G79" s="28" t="s">
        <v>118</v>
      </c>
      <c r="H79" s="29">
        <f t="shared" si="0"/>
        <v>6.25E-2</v>
      </c>
      <c r="I79" s="30">
        <v>0.60416666666666663</v>
      </c>
      <c r="J79" s="30">
        <v>0.66666666666666663</v>
      </c>
    </row>
    <row r="80" spans="1:13" ht="88.2" x14ac:dyDescent="0.2">
      <c r="A80" s="22">
        <v>45730</v>
      </c>
      <c r="B80" s="22" t="s">
        <v>20</v>
      </c>
      <c r="C80" s="27" t="s">
        <v>14</v>
      </c>
      <c r="D80" s="27" t="s">
        <v>39</v>
      </c>
      <c r="E80" s="27" t="s">
        <v>40</v>
      </c>
      <c r="F80" s="27" t="s">
        <v>33</v>
      </c>
      <c r="G80" s="28" t="s">
        <v>119</v>
      </c>
      <c r="H80" s="29">
        <f t="shared" si="0"/>
        <v>8.6111111111111138E-2</v>
      </c>
      <c r="I80" s="30">
        <v>0.66666666666666663</v>
      </c>
      <c r="J80" s="30">
        <v>0.75277777777777777</v>
      </c>
    </row>
    <row r="81" spans="1:13" x14ac:dyDescent="0.2">
      <c r="A81" s="31">
        <v>45731</v>
      </c>
      <c r="B81" s="31" t="s">
        <v>21</v>
      </c>
      <c r="C81" s="32"/>
      <c r="D81" s="32"/>
      <c r="E81" s="32"/>
      <c r="F81" s="32"/>
      <c r="G81" s="33"/>
      <c r="H81" s="34">
        <f t="shared" si="0"/>
        <v>0</v>
      </c>
      <c r="I81" s="35"/>
      <c r="J81" s="35"/>
    </row>
    <row r="82" spans="1:13" x14ac:dyDescent="0.2">
      <c r="A82" s="31">
        <v>45732</v>
      </c>
      <c r="B82" s="31" t="s">
        <v>22</v>
      </c>
      <c r="C82" s="32"/>
      <c r="D82" s="32"/>
      <c r="E82" s="32"/>
      <c r="F82" s="32"/>
      <c r="G82" s="33"/>
      <c r="H82" s="34">
        <f t="shared" si="0"/>
        <v>0</v>
      </c>
      <c r="I82" s="35"/>
      <c r="J82" s="35"/>
    </row>
    <row r="83" spans="1:13" ht="75.599999999999994" x14ac:dyDescent="0.2">
      <c r="A83" s="22">
        <v>45733</v>
      </c>
      <c r="B83" s="22" t="s">
        <v>23</v>
      </c>
      <c r="C83" s="27" t="s">
        <v>14</v>
      </c>
      <c r="D83" s="27" t="s">
        <v>39</v>
      </c>
      <c r="E83" s="27" t="s">
        <v>40</v>
      </c>
      <c r="F83" s="27" t="s">
        <v>33</v>
      </c>
      <c r="G83" s="28" t="s">
        <v>120</v>
      </c>
      <c r="H83" s="29">
        <f t="shared" si="0"/>
        <v>4.1666666666666685E-2</v>
      </c>
      <c r="I83" s="30">
        <v>0.33333333333333331</v>
      </c>
      <c r="J83" s="30">
        <v>0.375</v>
      </c>
    </row>
    <row r="84" spans="1:13" ht="88.2" x14ac:dyDescent="0.2">
      <c r="A84" s="22">
        <v>45733</v>
      </c>
      <c r="B84" s="22" t="s">
        <v>23</v>
      </c>
      <c r="C84" s="27" t="s">
        <v>14</v>
      </c>
      <c r="D84" s="27" t="s">
        <v>39</v>
      </c>
      <c r="E84" s="27" t="s">
        <v>78</v>
      </c>
      <c r="F84" s="27" t="s">
        <v>33</v>
      </c>
      <c r="G84" s="28" t="s">
        <v>121</v>
      </c>
      <c r="H84" s="29">
        <f t="shared" si="0"/>
        <v>8.3333333333333315E-2</v>
      </c>
      <c r="I84" s="30">
        <v>0.375</v>
      </c>
      <c r="J84" s="30">
        <v>0.45833333333333331</v>
      </c>
    </row>
    <row r="85" spans="1:13" ht="37.799999999999997" x14ac:dyDescent="0.2">
      <c r="A85" s="22">
        <v>45733</v>
      </c>
      <c r="B85" s="22" t="s">
        <v>23</v>
      </c>
      <c r="C85" s="27" t="s">
        <v>14</v>
      </c>
      <c r="D85" s="27" t="s">
        <v>39</v>
      </c>
      <c r="E85" s="27" t="s">
        <v>40</v>
      </c>
      <c r="F85" s="27" t="s">
        <v>33</v>
      </c>
      <c r="G85" s="28" t="s">
        <v>122</v>
      </c>
      <c r="H85" s="29">
        <f t="shared" si="0"/>
        <v>4.2361111111111127E-2</v>
      </c>
      <c r="I85" s="30">
        <v>0.45833333333333331</v>
      </c>
      <c r="J85" s="30">
        <v>0.50069444444444444</v>
      </c>
    </row>
    <row r="86" spans="1:13" x14ac:dyDescent="0.2">
      <c r="A86" s="22">
        <v>45733</v>
      </c>
      <c r="B86" s="22" t="s">
        <v>23</v>
      </c>
      <c r="C86" s="27" t="s">
        <v>14</v>
      </c>
      <c r="D86" s="27" t="s">
        <v>39</v>
      </c>
      <c r="E86" s="27" t="s">
        <v>65</v>
      </c>
      <c r="F86" s="27" t="s">
        <v>33</v>
      </c>
      <c r="G86" s="28" t="s">
        <v>123</v>
      </c>
      <c r="H86" s="29">
        <f t="shared" si="0"/>
        <v>4.166666666666663E-2</v>
      </c>
      <c r="I86" s="30">
        <v>0.50069444444444444</v>
      </c>
      <c r="J86" s="30">
        <v>0.54236111111111107</v>
      </c>
    </row>
    <row r="87" spans="1:13" ht="100.8" x14ac:dyDescent="0.2">
      <c r="A87" s="22">
        <v>45733</v>
      </c>
      <c r="B87" s="22" t="s">
        <v>23</v>
      </c>
      <c r="C87" s="27" t="s">
        <v>14</v>
      </c>
      <c r="D87" s="27" t="s">
        <v>39</v>
      </c>
      <c r="E87" s="27" t="s">
        <v>78</v>
      </c>
      <c r="F87" s="27" t="s">
        <v>33</v>
      </c>
      <c r="G87" s="28" t="s">
        <v>124</v>
      </c>
      <c r="H87" s="29">
        <f t="shared" si="0"/>
        <v>0.12430555555555556</v>
      </c>
      <c r="I87" s="30">
        <v>0.54236111111111107</v>
      </c>
      <c r="J87" s="30">
        <v>0.66666666666666663</v>
      </c>
    </row>
    <row r="88" spans="1:13" ht="88.2" x14ac:dyDescent="0.2">
      <c r="A88" s="22">
        <v>45733</v>
      </c>
      <c r="B88" s="22" t="s">
        <v>23</v>
      </c>
      <c r="C88" s="27" t="s">
        <v>14</v>
      </c>
      <c r="D88" s="27" t="s">
        <v>39</v>
      </c>
      <c r="E88" s="27" t="s">
        <v>40</v>
      </c>
      <c r="F88" s="27" t="s">
        <v>33</v>
      </c>
      <c r="G88" s="28" t="s">
        <v>125</v>
      </c>
      <c r="H88" s="29">
        <f t="shared" si="0"/>
        <v>6.597222222222221E-2</v>
      </c>
      <c r="I88" s="30">
        <v>0.66666666666666663</v>
      </c>
      <c r="J88" s="30">
        <v>0.73263888888888884</v>
      </c>
    </row>
    <row r="89" spans="1:13" ht="75.599999999999994" x14ac:dyDescent="0.2">
      <c r="A89" s="22">
        <v>45734</v>
      </c>
      <c r="B89" s="22" t="s">
        <v>13</v>
      </c>
      <c r="C89" s="27" t="s">
        <v>14</v>
      </c>
      <c r="D89" s="27" t="s">
        <v>39</v>
      </c>
      <c r="E89" s="27" t="s">
        <v>40</v>
      </c>
      <c r="F89" s="27" t="s">
        <v>33</v>
      </c>
      <c r="G89" s="28" t="s">
        <v>126</v>
      </c>
      <c r="H89" s="29">
        <f t="shared" si="0"/>
        <v>1.8749999999999989E-2</v>
      </c>
      <c r="I89" s="30">
        <v>0.3263888888888889</v>
      </c>
      <c r="J89" s="30">
        <v>0.34513888888888888</v>
      </c>
      <c r="M89" s="73"/>
    </row>
    <row r="90" spans="1:13" ht="100.8" x14ac:dyDescent="0.2">
      <c r="A90" s="22">
        <v>45734</v>
      </c>
      <c r="B90" s="22" t="s">
        <v>13</v>
      </c>
      <c r="C90" s="27" t="s">
        <v>14</v>
      </c>
      <c r="D90" s="27" t="s">
        <v>39</v>
      </c>
      <c r="E90" s="27" t="s">
        <v>78</v>
      </c>
      <c r="F90" s="27" t="s">
        <v>33</v>
      </c>
      <c r="G90" s="28" t="s">
        <v>127</v>
      </c>
      <c r="H90" s="29">
        <f t="shared" si="0"/>
        <v>0.11319444444444443</v>
      </c>
      <c r="I90" s="30">
        <v>0.34513888888888888</v>
      </c>
      <c r="J90" s="30">
        <v>0.45833333333333331</v>
      </c>
      <c r="M90" s="73"/>
    </row>
    <row r="91" spans="1:13" ht="37.799999999999997" x14ac:dyDescent="0.2">
      <c r="A91" s="22">
        <v>45734</v>
      </c>
      <c r="B91" s="22" t="s">
        <v>13</v>
      </c>
      <c r="C91" s="27" t="s">
        <v>14</v>
      </c>
      <c r="D91" s="27" t="s">
        <v>39</v>
      </c>
      <c r="E91" s="27" t="s">
        <v>40</v>
      </c>
      <c r="F91" s="27" t="s">
        <v>33</v>
      </c>
      <c r="G91" s="28" t="s">
        <v>128</v>
      </c>
      <c r="H91" s="29">
        <f t="shared" si="0"/>
        <v>4.5138888888888895E-2</v>
      </c>
      <c r="I91" s="112">
        <v>0.45833333333333331</v>
      </c>
      <c r="J91" s="112">
        <v>0.50347222222222221</v>
      </c>
    </row>
    <row r="92" spans="1:13" x14ac:dyDescent="0.2">
      <c r="A92" s="22">
        <v>45734</v>
      </c>
      <c r="B92" s="22" t="s">
        <v>13</v>
      </c>
      <c r="C92" s="27" t="s">
        <v>14</v>
      </c>
      <c r="D92" s="27" t="s">
        <v>39</v>
      </c>
      <c r="E92" s="27" t="s">
        <v>65</v>
      </c>
      <c r="F92" s="27" t="s">
        <v>33</v>
      </c>
      <c r="G92" s="28" t="s">
        <v>83</v>
      </c>
      <c r="H92" s="29">
        <f t="shared" si="0"/>
        <v>4.166666666666663E-2</v>
      </c>
      <c r="I92" s="30">
        <v>0.50347222222222221</v>
      </c>
      <c r="J92" s="30">
        <v>0.54513888888888884</v>
      </c>
      <c r="M92" s="73"/>
    </row>
    <row r="93" spans="1:13" ht="100.8" x14ac:dyDescent="0.2">
      <c r="A93" s="22">
        <v>45734</v>
      </c>
      <c r="B93" s="22" t="s">
        <v>13</v>
      </c>
      <c r="C93" s="27" t="s">
        <v>14</v>
      </c>
      <c r="D93" s="27" t="s">
        <v>39</v>
      </c>
      <c r="E93" s="27" t="s">
        <v>78</v>
      </c>
      <c r="F93" s="27" t="s">
        <v>33</v>
      </c>
      <c r="G93" s="28" t="s">
        <v>129</v>
      </c>
      <c r="H93" s="29">
        <f t="shared" si="0"/>
        <v>0.12152777777777779</v>
      </c>
      <c r="I93" s="30">
        <v>0.54513888888888884</v>
      </c>
      <c r="J93" s="30">
        <v>0.66666666666666663</v>
      </c>
      <c r="M93" s="73"/>
    </row>
    <row r="94" spans="1:13" ht="88.2" x14ac:dyDescent="0.2">
      <c r="A94" s="22">
        <v>45734</v>
      </c>
      <c r="B94" s="22" t="s">
        <v>13</v>
      </c>
      <c r="C94" s="27" t="s">
        <v>14</v>
      </c>
      <c r="D94" s="27" t="s">
        <v>39</v>
      </c>
      <c r="E94" s="27" t="s">
        <v>40</v>
      </c>
      <c r="F94" s="27" t="s">
        <v>33</v>
      </c>
      <c r="G94" s="28" t="s">
        <v>130</v>
      </c>
      <c r="H94" s="29">
        <f t="shared" si="0"/>
        <v>8.333333333333337E-2</v>
      </c>
      <c r="I94" s="30">
        <v>0.66666666666666663</v>
      </c>
      <c r="J94" s="30">
        <v>0.75</v>
      </c>
      <c r="M94" s="73"/>
    </row>
    <row r="95" spans="1:13" ht="75.599999999999994" x14ac:dyDescent="0.2">
      <c r="A95" s="22">
        <v>45735</v>
      </c>
      <c r="B95" s="22" t="s">
        <v>18</v>
      </c>
      <c r="C95" s="27" t="s">
        <v>14</v>
      </c>
      <c r="D95" s="27" t="s">
        <v>39</v>
      </c>
      <c r="E95" s="27" t="s">
        <v>40</v>
      </c>
      <c r="F95" s="27" t="s">
        <v>33</v>
      </c>
      <c r="G95" s="28" t="s">
        <v>131</v>
      </c>
      <c r="H95" s="29">
        <f t="shared" si="0"/>
        <v>1.9444444444444431E-2</v>
      </c>
      <c r="I95" s="30">
        <v>0.3263888888888889</v>
      </c>
      <c r="J95" s="30">
        <v>0.34583333333333333</v>
      </c>
    </row>
    <row r="96" spans="1:13" ht="113.4" x14ac:dyDescent="0.2">
      <c r="A96" s="22">
        <v>45735</v>
      </c>
      <c r="B96" s="22" t="s">
        <v>18</v>
      </c>
      <c r="C96" s="27" t="s">
        <v>14</v>
      </c>
      <c r="D96" s="27" t="s">
        <v>39</v>
      </c>
      <c r="E96" s="27" t="s">
        <v>78</v>
      </c>
      <c r="F96" s="27" t="s">
        <v>33</v>
      </c>
      <c r="G96" s="28" t="s">
        <v>132</v>
      </c>
      <c r="H96" s="29">
        <f t="shared" si="0"/>
        <v>0.11249999999999999</v>
      </c>
      <c r="I96" s="30">
        <v>0.34583333333333333</v>
      </c>
      <c r="J96" s="30">
        <v>0.45833333333333331</v>
      </c>
    </row>
    <row r="97" spans="1:10" ht="37.799999999999997" x14ac:dyDescent="0.2">
      <c r="A97" s="22">
        <v>45735</v>
      </c>
      <c r="B97" s="22" t="s">
        <v>18</v>
      </c>
      <c r="C97" s="27" t="s">
        <v>14</v>
      </c>
      <c r="D97" s="27" t="s">
        <v>39</v>
      </c>
      <c r="E97" s="27" t="s">
        <v>40</v>
      </c>
      <c r="F97" s="27" t="s">
        <v>33</v>
      </c>
      <c r="G97" s="28" t="s">
        <v>133</v>
      </c>
      <c r="H97" s="29">
        <f t="shared" si="0"/>
        <v>1.5972222222222221E-2</v>
      </c>
      <c r="I97" s="30">
        <v>0.45833333333333331</v>
      </c>
      <c r="J97" s="30">
        <v>0.47430555555555554</v>
      </c>
    </row>
    <row r="98" spans="1:10" x14ac:dyDescent="0.2">
      <c r="A98" s="22">
        <v>45735</v>
      </c>
      <c r="B98" s="22" t="s">
        <v>18</v>
      </c>
      <c r="C98" s="27" t="s">
        <v>14</v>
      </c>
      <c r="D98" s="27" t="s">
        <v>39</v>
      </c>
      <c r="E98" s="27" t="s">
        <v>42</v>
      </c>
      <c r="F98" s="27" t="s">
        <v>33</v>
      </c>
      <c r="G98" s="28" t="s">
        <v>134</v>
      </c>
      <c r="H98" s="29">
        <f t="shared" si="0"/>
        <v>2.777777777777779E-2</v>
      </c>
      <c r="I98" s="30">
        <v>0.47430555555555554</v>
      </c>
      <c r="J98" s="30">
        <v>0.50208333333333333</v>
      </c>
    </row>
    <row r="99" spans="1:10" x14ac:dyDescent="0.2">
      <c r="A99" s="22">
        <v>45735</v>
      </c>
      <c r="B99" s="22" t="s">
        <v>18</v>
      </c>
      <c r="C99" s="27" t="s">
        <v>14</v>
      </c>
      <c r="D99" s="27" t="s">
        <v>39</v>
      </c>
      <c r="E99" s="27" t="s">
        <v>65</v>
      </c>
      <c r="F99" s="27" t="s">
        <v>33</v>
      </c>
      <c r="G99" s="28" t="s">
        <v>135</v>
      </c>
      <c r="H99" s="29">
        <f t="shared" si="0"/>
        <v>4.166666666666663E-2</v>
      </c>
      <c r="I99" s="30">
        <v>0.50208333333333333</v>
      </c>
      <c r="J99" s="30">
        <v>0.54374999999999996</v>
      </c>
    </row>
    <row r="100" spans="1:10" ht="100.8" x14ac:dyDescent="0.2">
      <c r="A100" s="22">
        <v>45735</v>
      </c>
      <c r="B100" s="22" t="s">
        <v>18</v>
      </c>
      <c r="C100" s="27" t="s">
        <v>14</v>
      </c>
      <c r="D100" s="27" t="s">
        <v>39</v>
      </c>
      <c r="E100" s="27" t="s">
        <v>78</v>
      </c>
      <c r="F100" s="27" t="s">
        <v>33</v>
      </c>
      <c r="G100" s="28" t="s">
        <v>136</v>
      </c>
      <c r="H100" s="29">
        <f t="shared" si="0"/>
        <v>0.12291666666666667</v>
      </c>
      <c r="I100" s="30">
        <v>0.54374999999999996</v>
      </c>
      <c r="J100" s="30">
        <v>0.66666666666666663</v>
      </c>
    </row>
    <row r="101" spans="1:10" ht="88.2" x14ac:dyDescent="0.2">
      <c r="A101" s="22">
        <v>45735</v>
      </c>
      <c r="B101" s="22" t="s">
        <v>18</v>
      </c>
      <c r="C101" s="27" t="s">
        <v>14</v>
      </c>
      <c r="D101" s="27" t="s">
        <v>39</v>
      </c>
      <c r="E101" s="27" t="s">
        <v>40</v>
      </c>
      <c r="F101" s="27" t="s">
        <v>33</v>
      </c>
      <c r="G101" s="28" t="s">
        <v>137</v>
      </c>
      <c r="H101" s="29">
        <f t="shared" si="0"/>
        <v>0.10277777777777786</v>
      </c>
      <c r="I101" s="30">
        <v>0.66666666666666663</v>
      </c>
      <c r="J101" s="30">
        <v>0.76944444444444449</v>
      </c>
    </row>
    <row r="102" spans="1:10" ht="75.599999999999994" x14ac:dyDescent="0.2">
      <c r="A102" s="22">
        <v>45736</v>
      </c>
      <c r="B102" s="22" t="s">
        <v>19</v>
      </c>
      <c r="C102" s="27" t="s">
        <v>14</v>
      </c>
      <c r="D102" s="27" t="s">
        <v>39</v>
      </c>
      <c r="E102" s="27" t="s">
        <v>40</v>
      </c>
      <c r="F102" s="27" t="s">
        <v>33</v>
      </c>
      <c r="G102" s="28" t="s">
        <v>138</v>
      </c>
      <c r="H102" s="29">
        <f t="shared" si="0"/>
        <v>1.2500000000000011E-2</v>
      </c>
      <c r="I102" s="30">
        <v>0.3263888888888889</v>
      </c>
      <c r="J102" s="30">
        <v>0.33888888888888891</v>
      </c>
    </row>
    <row r="103" spans="1:10" ht="126" x14ac:dyDescent="0.2">
      <c r="A103" s="22">
        <v>45736</v>
      </c>
      <c r="B103" s="22" t="s">
        <v>19</v>
      </c>
      <c r="C103" s="27" t="s">
        <v>14</v>
      </c>
      <c r="D103" s="27" t="s">
        <v>39</v>
      </c>
      <c r="E103" s="27" t="s">
        <v>78</v>
      </c>
      <c r="F103" s="27" t="s">
        <v>33</v>
      </c>
      <c r="G103" s="28" t="s">
        <v>139</v>
      </c>
      <c r="H103" s="29">
        <f t="shared" si="0"/>
        <v>0.11944444444444441</v>
      </c>
      <c r="I103" s="30">
        <v>0.33888888888888891</v>
      </c>
      <c r="J103" s="30">
        <v>0.45833333333333331</v>
      </c>
    </row>
    <row r="104" spans="1:10" ht="37.799999999999997" x14ac:dyDescent="0.2">
      <c r="A104" s="22">
        <v>45736</v>
      </c>
      <c r="B104" s="22" t="s">
        <v>19</v>
      </c>
      <c r="C104" s="27" t="s">
        <v>14</v>
      </c>
      <c r="D104" s="27" t="s">
        <v>39</v>
      </c>
      <c r="E104" s="27" t="s">
        <v>40</v>
      </c>
      <c r="F104" s="27" t="s">
        <v>33</v>
      </c>
      <c r="G104" s="28" t="s">
        <v>140</v>
      </c>
      <c r="H104" s="29">
        <f t="shared" si="0"/>
        <v>1.8055555555555547E-2</v>
      </c>
      <c r="I104" s="30">
        <v>0.45833333333333331</v>
      </c>
      <c r="J104" s="30">
        <v>0.47638888888888886</v>
      </c>
    </row>
    <row r="105" spans="1:10" ht="37.799999999999997" x14ac:dyDescent="0.2">
      <c r="A105" s="22">
        <v>45736</v>
      </c>
      <c r="B105" s="22" t="s">
        <v>19</v>
      </c>
      <c r="C105" s="27" t="s">
        <v>14</v>
      </c>
      <c r="D105" s="27" t="s">
        <v>39</v>
      </c>
      <c r="E105" s="27" t="s">
        <v>42</v>
      </c>
      <c r="F105" s="27" t="s">
        <v>33</v>
      </c>
      <c r="G105" s="28" t="s">
        <v>141</v>
      </c>
      <c r="H105" s="29">
        <f t="shared" si="0"/>
        <v>2.3611111111111138E-2</v>
      </c>
      <c r="I105" s="30">
        <v>0.47638888888888886</v>
      </c>
      <c r="J105" s="30">
        <v>0.5</v>
      </c>
    </row>
    <row r="106" spans="1:10" ht="25.2" x14ac:dyDescent="0.2">
      <c r="A106" s="22">
        <v>45736</v>
      </c>
      <c r="B106" s="22" t="s">
        <v>19</v>
      </c>
      <c r="C106" s="27" t="s">
        <v>14</v>
      </c>
      <c r="D106" s="27" t="s">
        <v>39</v>
      </c>
      <c r="E106" s="27" t="s">
        <v>40</v>
      </c>
      <c r="F106" s="27" t="s">
        <v>33</v>
      </c>
      <c r="G106" s="28" t="s">
        <v>142</v>
      </c>
      <c r="H106" s="29">
        <f t="shared" si="0"/>
        <v>4.0972222222222188E-2</v>
      </c>
      <c r="I106" s="30">
        <v>0.5</v>
      </c>
      <c r="J106" s="30">
        <v>0.54097222222222219</v>
      </c>
    </row>
    <row r="107" spans="1:10" x14ac:dyDescent="0.2">
      <c r="A107" s="22">
        <v>45736</v>
      </c>
      <c r="B107" s="22" t="s">
        <v>19</v>
      </c>
      <c r="C107" s="27" t="s">
        <v>14</v>
      </c>
      <c r="D107" s="27" t="s">
        <v>39</v>
      </c>
      <c r="E107" s="27" t="s">
        <v>65</v>
      </c>
      <c r="F107" s="27" t="s">
        <v>33</v>
      </c>
      <c r="G107" s="28" t="s">
        <v>143</v>
      </c>
      <c r="H107" s="29">
        <f t="shared" si="0"/>
        <v>4.1666666666666741E-2</v>
      </c>
      <c r="I107" s="30">
        <v>0.54097222222222219</v>
      </c>
      <c r="J107" s="30">
        <v>0.58263888888888893</v>
      </c>
    </row>
    <row r="108" spans="1:10" ht="37.799999999999997" x14ac:dyDescent="0.2">
      <c r="A108" s="22">
        <v>45736</v>
      </c>
      <c r="B108" s="22" t="s">
        <v>19</v>
      </c>
      <c r="C108" s="27" t="s">
        <v>14</v>
      </c>
      <c r="D108" s="27" t="s">
        <v>39</v>
      </c>
      <c r="E108" s="27" t="s">
        <v>78</v>
      </c>
      <c r="F108" s="27" t="s">
        <v>33</v>
      </c>
      <c r="G108" s="28" t="s">
        <v>144</v>
      </c>
      <c r="H108" s="29">
        <f t="shared" si="0"/>
        <v>8.4027777777777701E-2</v>
      </c>
      <c r="I108" s="30">
        <v>0.58263888888888893</v>
      </c>
      <c r="J108" s="30">
        <v>0.66666666666666663</v>
      </c>
    </row>
    <row r="109" spans="1:10" ht="50.4" x14ac:dyDescent="0.2">
      <c r="A109" s="22">
        <v>45736</v>
      </c>
      <c r="B109" s="22" t="s">
        <v>19</v>
      </c>
      <c r="C109" s="27" t="s">
        <v>14</v>
      </c>
      <c r="D109" s="27" t="s">
        <v>39</v>
      </c>
      <c r="E109" s="27" t="s">
        <v>40</v>
      </c>
      <c r="F109" s="27" t="s">
        <v>33</v>
      </c>
      <c r="G109" s="28" t="s">
        <v>145</v>
      </c>
      <c r="H109" s="29">
        <f t="shared" si="0"/>
        <v>4.7916666666666718E-2</v>
      </c>
      <c r="I109" s="30">
        <v>0.66666666666666663</v>
      </c>
      <c r="J109" s="30">
        <v>0.71458333333333335</v>
      </c>
    </row>
    <row r="110" spans="1:10" x14ac:dyDescent="0.2">
      <c r="A110" s="47">
        <v>45737</v>
      </c>
      <c r="B110" s="47" t="s">
        <v>20</v>
      </c>
      <c r="C110" s="48" t="s">
        <v>14</v>
      </c>
      <c r="D110" s="48"/>
      <c r="E110" s="48" t="s">
        <v>32</v>
      </c>
      <c r="F110" s="48" t="s">
        <v>33</v>
      </c>
      <c r="G110" s="49" t="s">
        <v>146</v>
      </c>
      <c r="H110" s="50">
        <f t="shared" si="0"/>
        <v>0.33333333333333331</v>
      </c>
      <c r="I110" s="51">
        <v>0.33333333333333331</v>
      </c>
      <c r="J110" s="51">
        <v>0.66666666666666663</v>
      </c>
    </row>
    <row r="111" spans="1:10" x14ac:dyDescent="0.2">
      <c r="A111" s="31">
        <v>45738</v>
      </c>
      <c r="B111" s="31" t="s">
        <v>21</v>
      </c>
      <c r="C111" s="32"/>
      <c r="D111" s="32"/>
      <c r="E111" s="32"/>
      <c r="F111" s="32"/>
      <c r="G111" s="33"/>
      <c r="H111" s="34">
        <f t="shared" si="0"/>
        <v>0</v>
      </c>
      <c r="I111" s="35"/>
      <c r="J111" s="35"/>
    </row>
    <row r="112" spans="1:10" x14ac:dyDescent="0.2">
      <c r="A112" s="31">
        <v>45739</v>
      </c>
      <c r="B112" s="31" t="s">
        <v>22</v>
      </c>
      <c r="C112" s="32"/>
      <c r="D112" s="32"/>
      <c r="E112" s="32"/>
      <c r="F112" s="32"/>
      <c r="G112" s="33"/>
      <c r="H112" s="34">
        <f t="shared" si="0"/>
        <v>0</v>
      </c>
      <c r="I112" s="35"/>
      <c r="J112" s="35"/>
    </row>
    <row r="113" spans="1:12" ht="75.599999999999994" x14ac:dyDescent="0.2">
      <c r="A113" s="22">
        <v>45740</v>
      </c>
      <c r="B113" s="22" t="s">
        <v>23</v>
      </c>
      <c r="C113" s="27" t="s">
        <v>14</v>
      </c>
      <c r="D113" s="27" t="s">
        <v>39</v>
      </c>
      <c r="E113" s="27" t="s">
        <v>40</v>
      </c>
      <c r="F113" s="27" t="s">
        <v>33</v>
      </c>
      <c r="G113" s="28" t="s">
        <v>147</v>
      </c>
      <c r="H113" s="29">
        <f t="shared" si="0"/>
        <v>2.5694444444444464E-2</v>
      </c>
      <c r="I113" s="30">
        <v>0.3263888888888889</v>
      </c>
      <c r="J113" s="30">
        <v>0.35208333333333336</v>
      </c>
    </row>
    <row r="114" spans="1:12" ht="88.2" x14ac:dyDescent="0.2">
      <c r="A114" s="22">
        <v>45740</v>
      </c>
      <c r="B114" s="22" t="s">
        <v>23</v>
      </c>
      <c r="C114" s="27" t="s">
        <v>14</v>
      </c>
      <c r="D114" s="27" t="s">
        <v>39</v>
      </c>
      <c r="E114" s="27" t="s">
        <v>78</v>
      </c>
      <c r="F114" s="27" t="s">
        <v>33</v>
      </c>
      <c r="G114" s="28" t="s">
        <v>148</v>
      </c>
      <c r="H114" s="29">
        <f t="shared" si="0"/>
        <v>0.10624999999999996</v>
      </c>
      <c r="I114" s="30">
        <v>0.35208333333333336</v>
      </c>
      <c r="J114" s="30">
        <v>0.45833333333333331</v>
      </c>
    </row>
    <row r="115" spans="1:12" ht="37.799999999999997" x14ac:dyDescent="0.2">
      <c r="A115" s="22">
        <v>45740</v>
      </c>
      <c r="B115" s="22" t="s">
        <v>23</v>
      </c>
      <c r="C115" s="27" t="s">
        <v>14</v>
      </c>
      <c r="D115" s="27" t="s">
        <v>39</v>
      </c>
      <c r="E115" s="27" t="s">
        <v>40</v>
      </c>
      <c r="F115" s="27" t="s">
        <v>33</v>
      </c>
      <c r="G115" s="28" t="s">
        <v>149</v>
      </c>
      <c r="H115" s="29">
        <f t="shared" si="0"/>
        <v>5.0694444444444431E-2</v>
      </c>
      <c r="I115" s="30">
        <v>0.45833333333333331</v>
      </c>
      <c r="J115" s="30">
        <v>0.50902777777777775</v>
      </c>
    </row>
    <row r="116" spans="1:12" x14ac:dyDescent="0.2">
      <c r="A116" s="22">
        <v>45740</v>
      </c>
      <c r="B116" s="22" t="s">
        <v>23</v>
      </c>
      <c r="C116" s="27" t="s">
        <v>14</v>
      </c>
      <c r="D116" s="27" t="s">
        <v>39</v>
      </c>
      <c r="E116" s="27" t="s">
        <v>65</v>
      </c>
      <c r="F116" s="27" t="s">
        <v>33</v>
      </c>
      <c r="G116" s="28" t="s">
        <v>150</v>
      </c>
      <c r="H116" s="29">
        <f t="shared" si="0"/>
        <v>4.1666666666666741E-2</v>
      </c>
      <c r="I116" s="30">
        <v>0.50902777777777775</v>
      </c>
      <c r="J116" s="30">
        <v>0.55069444444444449</v>
      </c>
    </row>
    <row r="117" spans="1:12" ht="37.799999999999997" x14ac:dyDescent="0.2">
      <c r="A117" s="22">
        <v>45740</v>
      </c>
      <c r="B117" s="22" t="s">
        <v>23</v>
      </c>
      <c r="C117" s="27" t="s">
        <v>14</v>
      </c>
      <c r="D117" s="27" t="s">
        <v>39</v>
      </c>
      <c r="E117" s="27" t="s">
        <v>40</v>
      </c>
      <c r="F117" s="27" t="s">
        <v>33</v>
      </c>
      <c r="G117" s="28" t="s">
        <v>151</v>
      </c>
      <c r="H117" s="29">
        <f t="shared" si="0"/>
        <v>1.1111111111111072E-2</v>
      </c>
      <c r="I117" s="30">
        <v>0.55069444444444449</v>
      </c>
      <c r="J117" s="30">
        <v>0.56180555555555556</v>
      </c>
    </row>
    <row r="118" spans="1:12" ht="88.2" x14ac:dyDescent="0.2">
      <c r="A118" s="22">
        <v>45740</v>
      </c>
      <c r="B118" s="22" t="s">
        <v>23</v>
      </c>
      <c r="C118" s="27" t="s">
        <v>14</v>
      </c>
      <c r="D118" s="27" t="s">
        <v>39</v>
      </c>
      <c r="E118" s="27" t="s">
        <v>78</v>
      </c>
      <c r="F118" s="27" t="s">
        <v>33</v>
      </c>
      <c r="G118" s="28" t="s">
        <v>148</v>
      </c>
      <c r="H118" s="29">
        <f t="shared" si="0"/>
        <v>0.10486111111111107</v>
      </c>
      <c r="I118" s="30">
        <v>0.56180555555555556</v>
      </c>
      <c r="J118" s="30">
        <v>0.66666666666666663</v>
      </c>
    </row>
    <row r="119" spans="1:12" ht="63" x14ac:dyDescent="0.2">
      <c r="A119" s="22">
        <v>45740</v>
      </c>
      <c r="B119" s="22" t="s">
        <v>23</v>
      </c>
      <c r="C119" s="27" t="s">
        <v>14</v>
      </c>
      <c r="D119" s="27" t="s">
        <v>39</v>
      </c>
      <c r="E119" s="27" t="s">
        <v>40</v>
      </c>
      <c r="F119" s="27" t="s">
        <v>33</v>
      </c>
      <c r="G119" s="28" t="s">
        <v>152</v>
      </c>
      <c r="H119" s="29">
        <f t="shared" si="0"/>
        <v>6.597222222222221E-2</v>
      </c>
      <c r="I119" s="30">
        <v>0.66666666666666663</v>
      </c>
      <c r="J119" s="30">
        <v>0.73263888888888884</v>
      </c>
    </row>
    <row r="120" spans="1:12" ht="75.599999999999994" x14ac:dyDescent="0.2">
      <c r="A120" s="22">
        <v>45741</v>
      </c>
      <c r="B120" s="22" t="s">
        <v>13</v>
      </c>
      <c r="C120" s="27" t="s">
        <v>14</v>
      </c>
      <c r="D120" s="27" t="s">
        <v>39</v>
      </c>
      <c r="E120" s="27" t="s">
        <v>40</v>
      </c>
      <c r="F120" s="27" t="s">
        <v>33</v>
      </c>
      <c r="G120" s="28" t="s">
        <v>153</v>
      </c>
      <c r="H120" s="29">
        <f t="shared" si="0"/>
        <v>2.0833333333333315E-2</v>
      </c>
      <c r="I120" s="30">
        <v>0.3263888888888889</v>
      </c>
      <c r="J120" s="30">
        <v>0.34722222222222221</v>
      </c>
      <c r="L120" s="73"/>
    </row>
    <row r="121" spans="1:12" ht="88.2" x14ac:dyDescent="0.2">
      <c r="A121" s="22">
        <v>45741</v>
      </c>
      <c r="B121" s="22" t="s">
        <v>13</v>
      </c>
      <c r="C121" s="27" t="s">
        <v>14</v>
      </c>
      <c r="D121" s="27" t="s">
        <v>39</v>
      </c>
      <c r="E121" s="27" t="s">
        <v>78</v>
      </c>
      <c r="F121" s="27" t="s">
        <v>33</v>
      </c>
      <c r="G121" s="28" t="s">
        <v>148</v>
      </c>
      <c r="H121" s="29">
        <f t="shared" si="0"/>
        <v>0.1111111111111111</v>
      </c>
      <c r="I121" s="30">
        <v>0.34722222222222221</v>
      </c>
      <c r="J121" s="30">
        <v>0.45833333333333331</v>
      </c>
      <c r="L121" s="73"/>
    </row>
    <row r="122" spans="1:12" ht="37.799999999999997" x14ac:dyDescent="0.2">
      <c r="A122" s="22">
        <v>45741</v>
      </c>
      <c r="B122" s="22" t="s">
        <v>13</v>
      </c>
      <c r="C122" s="27" t="s">
        <v>14</v>
      </c>
      <c r="D122" s="27" t="s">
        <v>39</v>
      </c>
      <c r="E122" s="27" t="s">
        <v>40</v>
      </c>
      <c r="F122" s="27" t="s">
        <v>33</v>
      </c>
      <c r="G122" s="28" t="s">
        <v>154</v>
      </c>
      <c r="H122" s="29">
        <f t="shared" si="0"/>
        <v>4.5138888888888895E-2</v>
      </c>
      <c r="I122" s="30">
        <v>0.45833333333333331</v>
      </c>
      <c r="J122" s="30">
        <v>0.50347222222222221</v>
      </c>
      <c r="L122" s="73"/>
    </row>
    <row r="123" spans="1:12" x14ac:dyDescent="0.2">
      <c r="A123" s="22">
        <v>45741</v>
      </c>
      <c r="B123" s="22" t="s">
        <v>13</v>
      </c>
      <c r="C123" s="27" t="s">
        <v>14</v>
      </c>
      <c r="D123" s="27" t="s">
        <v>39</v>
      </c>
      <c r="E123" s="27" t="s">
        <v>65</v>
      </c>
      <c r="F123" s="27" t="s">
        <v>33</v>
      </c>
      <c r="G123" s="28" t="s">
        <v>83</v>
      </c>
      <c r="H123" s="29">
        <f t="shared" si="0"/>
        <v>4.0277777777777746E-2</v>
      </c>
      <c r="I123" s="30">
        <v>0.50347222222222221</v>
      </c>
      <c r="J123" s="30">
        <v>0.54374999999999996</v>
      </c>
      <c r="L123" s="73"/>
    </row>
    <row r="124" spans="1:12" ht="50.4" x14ac:dyDescent="0.2">
      <c r="A124" s="22">
        <v>45741</v>
      </c>
      <c r="B124" s="22" t="s">
        <v>13</v>
      </c>
      <c r="C124" s="27" t="s">
        <v>14</v>
      </c>
      <c r="D124" s="27" t="s">
        <v>39</v>
      </c>
      <c r="E124" s="27" t="s">
        <v>78</v>
      </c>
      <c r="F124" s="27" t="s">
        <v>33</v>
      </c>
      <c r="G124" s="28" t="s">
        <v>155</v>
      </c>
      <c r="H124" s="29">
        <f t="shared" si="0"/>
        <v>0.12291666666666667</v>
      </c>
      <c r="I124" s="30">
        <v>0.54374999999999996</v>
      </c>
      <c r="J124" s="30">
        <v>0.66666666666666663</v>
      </c>
      <c r="L124" s="73"/>
    </row>
    <row r="125" spans="1:12" ht="63" x14ac:dyDescent="0.2">
      <c r="A125" s="22">
        <v>45741</v>
      </c>
      <c r="B125" s="22" t="s">
        <v>13</v>
      </c>
      <c r="C125" s="27" t="s">
        <v>14</v>
      </c>
      <c r="D125" s="27" t="s">
        <v>39</v>
      </c>
      <c r="E125" s="27" t="s">
        <v>40</v>
      </c>
      <c r="F125" s="27" t="s">
        <v>33</v>
      </c>
      <c r="G125" s="28" t="s">
        <v>156</v>
      </c>
      <c r="H125" s="29">
        <f t="shared" si="0"/>
        <v>5.3472222222222254E-2</v>
      </c>
      <c r="I125" s="30">
        <v>0.66666666666666663</v>
      </c>
      <c r="J125" s="30">
        <v>0.72013888888888888</v>
      </c>
      <c r="L125" s="73"/>
    </row>
    <row r="126" spans="1:12" ht="75.599999999999994" x14ac:dyDescent="0.2">
      <c r="A126" s="22">
        <v>45742</v>
      </c>
      <c r="B126" s="22" t="s">
        <v>18</v>
      </c>
      <c r="C126" s="27" t="s">
        <v>14</v>
      </c>
      <c r="D126" s="27" t="s">
        <v>39</v>
      </c>
      <c r="E126" s="27" t="s">
        <v>40</v>
      </c>
      <c r="F126" s="27" t="s">
        <v>33</v>
      </c>
      <c r="G126" s="28" t="s">
        <v>157</v>
      </c>
      <c r="H126" s="29">
        <f t="shared" si="0"/>
        <v>2.0138888888888873E-2</v>
      </c>
      <c r="I126" s="30">
        <v>0.3263888888888889</v>
      </c>
      <c r="J126" s="30">
        <v>0.34652777777777777</v>
      </c>
    </row>
    <row r="127" spans="1:12" ht="88.2" x14ac:dyDescent="0.2">
      <c r="A127" s="22">
        <v>45742</v>
      </c>
      <c r="B127" s="22" t="s">
        <v>18</v>
      </c>
      <c r="C127" s="27" t="s">
        <v>14</v>
      </c>
      <c r="D127" s="27" t="s">
        <v>39</v>
      </c>
      <c r="E127" s="27" t="s">
        <v>78</v>
      </c>
      <c r="F127" s="27" t="s">
        <v>33</v>
      </c>
      <c r="G127" s="28" t="s">
        <v>158</v>
      </c>
      <c r="H127" s="29">
        <f t="shared" si="0"/>
        <v>0.11180555555555555</v>
      </c>
      <c r="I127" s="30">
        <v>0.34652777777777777</v>
      </c>
      <c r="J127" s="30">
        <v>0.45833333333333331</v>
      </c>
    </row>
    <row r="128" spans="1:12" ht="37.799999999999997" x14ac:dyDescent="0.2">
      <c r="A128" s="22">
        <v>45742</v>
      </c>
      <c r="B128" s="22" t="s">
        <v>18</v>
      </c>
      <c r="C128" s="27" t="s">
        <v>14</v>
      </c>
      <c r="D128" s="27" t="s">
        <v>39</v>
      </c>
      <c r="E128" s="27" t="s">
        <v>40</v>
      </c>
      <c r="F128" s="27" t="s">
        <v>33</v>
      </c>
      <c r="G128" s="28" t="s">
        <v>140</v>
      </c>
      <c r="H128" s="29">
        <f t="shared" si="0"/>
        <v>4.6527777777777779E-2</v>
      </c>
      <c r="I128" s="30">
        <v>0.45833333333333331</v>
      </c>
      <c r="J128" s="30">
        <v>0.50486111111111109</v>
      </c>
    </row>
    <row r="129" spans="1:10" x14ac:dyDescent="0.2">
      <c r="A129" s="22">
        <v>45742</v>
      </c>
      <c r="B129" s="22" t="s">
        <v>18</v>
      </c>
      <c r="C129" s="27" t="s">
        <v>14</v>
      </c>
      <c r="D129" s="27" t="s">
        <v>39</v>
      </c>
      <c r="E129" s="27" t="s">
        <v>65</v>
      </c>
      <c r="F129" s="27" t="s">
        <v>33</v>
      </c>
      <c r="G129" s="28" t="s">
        <v>159</v>
      </c>
      <c r="H129" s="29">
        <f t="shared" si="0"/>
        <v>4.166666666666663E-2</v>
      </c>
      <c r="I129" s="30">
        <v>0.50486111111111109</v>
      </c>
      <c r="J129" s="30">
        <v>0.54652777777777772</v>
      </c>
    </row>
    <row r="130" spans="1:10" ht="88.2" x14ac:dyDescent="0.2">
      <c r="A130" s="22">
        <v>45742</v>
      </c>
      <c r="B130" s="22" t="s">
        <v>18</v>
      </c>
      <c r="C130" s="27" t="s">
        <v>14</v>
      </c>
      <c r="D130" s="27" t="s">
        <v>39</v>
      </c>
      <c r="E130" s="27" t="s">
        <v>78</v>
      </c>
      <c r="F130" s="27" t="s">
        <v>33</v>
      </c>
      <c r="G130" s="28" t="s">
        <v>158</v>
      </c>
      <c r="H130" s="29">
        <f t="shared" si="0"/>
        <v>0.12013888888888891</v>
      </c>
      <c r="I130" s="30">
        <v>0.54652777777777772</v>
      </c>
      <c r="J130" s="30">
        <v>0.66666666666666663</v>
      </c>
    </row>
    <row r="131" spans="1:10" ht="50.4" x14ac:dyDescent="0.2">
      <c r="A131" s="22">
        <v>45742</v>
      </c>
      <c r="B131" s="22" t="s">
        <v>18</v>
      </c>
      <c r="C131" s="27" t="s">
        <v>14</v>
      </c>
      <c r="D131" s="27" t="s">
        <v>39</v>
      </c>
      <c r="E131" s="27" t="s">
        <v>40</v>
      </c>
      <c r="F131" s="27" t="s">
        <v>33</v>
      </c>
      <c r="G131" s="28" t="s">
        <v>160</v>
      </c>
      <c r="H131" s="29">
        <f t="shared" si="0"/>
        <v>8.0555555555555602E-2</v>
      </c>
      <c r="I131" s="30">
        <v>0.66666666666666663</v>
      </c>
      <c r="J131" s="30">
        <v>0.74722222222222223</v>
      </c>
    </row>
    <row r="132" spans="1:10" ht="75.599999999999994" x14ac:dyDescent="0.2">
      <c r="A132" s="22">
        <v>45743</v>
      </c>
      <c r="B132" s="22" t="s">
        <v>19</v>
      </c>
      <c r="C132" s="27" t="s">
        <v>14</v>
      </c>
      <c r="D132" s="27" t="s">
        <v>39</v>
      </c>
      <c r="E132" s="27" t="s">
        <v>40</v>
      </c>
      <c r="F132" s="27" t="s">
        <v>33</v>
      </c>
      <c r="G132" s="28" t="s">
        <v>161</v>
      </c>
      <c r="H132" s="29">
        <f>J132-I132</f>
        <v>1.7361111111111105E-2</v>
      </c>
      <c r="I132" s="30">
        <v>0.3263888888888889</v>
      </c>
      <c r="J132" s="30">
        <v>0.34375</v>
      </c>
    </row>
    <row r="133" spans="1:10" ht="88.2" x14ac:dyDescent="0.2">
      <c r="A133" s="22">
        <v>45743</v>
      </c>
      <c r="B133" s="22" t="s">
        <v>19</v>
      </c>
      <c r="C133" s="27" t="s">
        <v>14</v>
      </c>
      <c r="D133" s="27" t="s">
        <v>39</v>
      </c>
      <c r="E133" s="27" t="s">
        <v>42</v>
      </c>
      <c r="F133" s="27" t="s">
        <v>33</v>
      </c>
      <c r="G133" s="28" t="s">
        <v>162</v>
      </c>
      <c r="H133" s="29">
        <f t="shared" ref="H133:H148" si="1">J133-I133</f>
        <v>7.2916666666666685E-2</v>
      </c>
      <c r="I133" s="30">
        <v>0.34375</v>
      </c>
      <c r="J133" s="30">
        <v>0.41666666666666669</v>
      </c>
    </row>
    <row r="134" spans="1:10" ht="25.2" x14ac:dyDescent="0.2">
      <c r="A134" s="22">
        <v>45743</v>
      </c>
      <c r="B134" s="22" t="s">
        <v>19</v>
      </c>
      <c r="C134" s="27" t="s">
        <v>14</v>
      </c>
      <c r="D134" s="27" t="s">
        <v>39</v>
      </c>
      <c r="E134" s="27" t="s">
        <v>40</v>
      </c>
      <c r="F134" s="27" t="s">
        <v>33</v>
      </c>
      <c r="G134" s="28" t="s">
        <v>163</v>
      </c>
      <c r="H134" s="29">
        <f t="shared" si="1"/>
        <v>1.041666666666663E-2</v>
      </c>
      <c r="I134" s="111">
        <v>0.41666666666666669</v>
      </c>
      <c r="J134" s="30">
        <v>0.42708333333333331</v>
      </c>
    </row>
    <row r="135" spans="1:10" ht="100.8" x14ac:dyDescent="0.2">
      <c r="A135" s="22">
        <v>45743</v>
      </c>
      <c r="B135" s="22" t="s">
        <v>19</v>
      </c>
      <c r="C135" s="27" t="s">
        <v>14</v>
      </c>
      <c r="D135" s="27" t="s">
        <v>39</v>
      </c>
      <c r="E135" s="27" t="s">
        <v>42</v>
      </c>
      <c r="F135" s="27" t="s">
        <v>33</v>
      </c>
      <c r="G135" s="28" t="s">
        <v>164</v>
      </c>
      <c r="H135" s="29">
        <f t="shared" si="1"/>
        <v>3.125E-2</v>
      </c>
      <c r="I135" s="30">
        <v>0.42708333333333331</v>
      </c>
      <c r="J135" s="30">
        <v>0.45833333333333331</v>
      </c>
    </row>
    <row r="136" spans="1:10" ht="37.799999999999997" x14ac:dyDescent="0.2">
      <c r="A136" s="22">
        <v>45743</v>
      </c>
      <c r="B136" s="22" t="s">
        <v>19</v>
      </c>
      <c r="C136" s="27" t="s">
        <v>14</v>
      </c>
      <c r="D136" s="27" t="s">
        <v>39</v>
      </c>
      <c r="E136" s="27" t="s">
        <v>40</v>
      </c>
      <c r="F136" s="27" t="s">
        <v>33</v>
      </c>
      <c r="G136" s="28" t="s">
        <v>140</v>
      </c>
      <c r="H136" s="29">
        <f t="shared" si="1"/>
        <v>5.9027777777777846E-2</v>
      </c>
      <c r="I136" s="30">
        <v>0.45833333333333331</v>
      </c>
      <c r="J136" s="30">
        <v>0.51736111111111116</v>
      </c>
    </row>
    <row r="137" spans="1:10" x14ac:dyDescent="0.2">
      <c r="A137" s="22">
        <v>45743</v>
      </c>
      <c r="B137" s="22" t="s">
        <v>19</v>
      </c>
      <c r="C137" s="27" t="s">
        <v>14</v>
      </c>
      <c r="D137" s="27" t="s">
        <v>39</v>
      </c>
      <c r="E137" s="27" t="s">
        <v>65</v>
      </c>
      <c r="F137" s="27" t="s">
        <v>33</v>
      </c>
      <c r="G137" s="28" t="s">
        <v>165</v>
      </c>
      <c r="H137" s="29">
        <f t="shared" si="1"/>
        <v>4.166666666666663E-2</v>
      </c>
      <c r="I137" s="30">
        <v>0.51736111111111116</v>
      </c>
      <c r="J137" s="30">
        <v>0.55902777777777779</v>
      </c>
    </row>
    <row r="138" spans="1:10" ht="88.2" x14ac:dyDescent="0.2">
      <c r="A138" s="22">
        <v>45743</v>
      </c>
      <c r="B138" s="22" t="s">
        <v>19</v>
      </c>
      <c r="C138" s="27" t="s">
        <v>14</v>
      </c>
      <c r="D138" s="27" t="s">
        <v>39</v>
      </c>
      <c r="E138" s="27" t="s">
        <v>78</v>
      </c>
      <c r="F138" s="27" t="s">
        <v>33</v>
      </c>
      <c r="G138" s="28" t="s">
        <v>166</v>
      </c>
      <c r="H138" s="29">
        <f t="shared" si="1"/>
        <v>0.10763888888888884</v>
      </c>
      <c r="I138" s="30">
        <v>0.55902777777777779</v>
      </c>
      <c r="J138" s="30">
        <v>0.66666666666666663</v>
      </c>
    </row>
    <row r="139" spans="1:10" ht="55.2" customHeight="1" x14ac:dyDescent="0.2">
      <c r="A139" s="22">
        <v>45743</v>
      </c>
      <c r="B139" s="22" t="s">
        <v>19</v>
      </c>
      <c r="C139" s="27" t="s">
        <v>14</v>
      </c>
      <c r="D139" s="27" t="s">
        <v>39</v>
      </c>
      <c r="E139" s="27" t="s">
        <v>40</v>
      </c>
      <c r="F139" s="27" t="s">
        <v>33</v>
      </c>
      <c r="G139" s="28" t="s">
        <v>167</v>
      </c>
      <c r="H139" s="29">
        <f t="shared" si="1"/>
        <v>7.3611111111111183E-2</v>
      </c>
      <c r="I139" s="30">
        <v>0.66666666666666663</v>
      </c>
      <c r="J139" s="30">
        <v>0.74027777777777781</v>
      </c>
    </row>
    <row r="140" spans="1:10" ht="83.4" customHeight="1" x14ac:dyDescent="0.2">
      <c r="A140" s="22">
        <v>45744</v>
      </c>
      <c r="B140" s="22" t="s">
        <v>20</v>
      </c>
      <c r="C140" s="27" t="s">
        <v>14</v>
      </c>
      <c r="D140" s="27" t="s">
        <v>39</v>
      </c>
      <c r="E140" s="27" t="s">
        <v>40</v>
      </c>
      <c r="F140" s="27" t="s">
        <v>33</v>
      </c>
      <c r="G140" s="28" t="s">
        <v>168</v>
      </c>
      <c r="H140" s="29">
        <f t="shared" si="1"/>
        <v>2.1527777777777757E-2</v>
      </c>
      <c r="I140" s="30">
        <v>0.3263888888888889</v>
      </c>
      <c r="J140" s="30">
        <v>0.34791666666666665</v>
      </c>
    </row>
    <row r="141" spans="1:10" ht="75.599999999999994" x14ac:dyDescent="0.2">
      <c r="A141" s="22">
        <v>45744</v>
      </c>
      <c r="B141" s="22" t="s">
        <v>20</v>
      </c>
      <c r="C141" s="27" t="s">
        <v>14</v>
      </c>
      <c r="D141" s="27" t="s">
        <v>39</v>
      </c>
      <c r="E141" s="27" t="s">
        <v>78</v>
      </c>
      <c r="F141" s="27" t="s">
        <v>33</v>
      </c>
      <c r="G141" s="28" t="s">
        <v>169</v>
      </c>
      <c r="H141" s="29">
        <f t="shared" si="1"/>
        <v>6.8750000000000033E-2</v>
      </c>
      <c r="I141" s="30">
        <v>0.34791666666666665</v>
      </c>
      <c r="J141" s="30">
        <v>0.41666666666666669</v>
      </c>
    </row>
    <row r="142" spans="1:10" ht="25.2" x14ac:dyDescent="0.2">
      <c r="A142" s="22">
        <v>45744</v>
      </c>
      <c r="B142" s="22" t="s">
        <v>20</v>
      </c>
      <c r="C142" s="27" t="s">
        <v>14</v>
      </c>
      <c r="D142" s="27" t="s">
        <v>39</v>
      </c>
      <c r="E142" s="27" t="s">
        <v>40</v>
      </c>
      <c r="F142" s="27" t="s">
        <v>33</v>
      </c>
      <c r="G142" s="28" t="s">
        <v>163</v>
      </c>
      <c r="H142" s="29">
        <f t="shared" si="1"/>
        <v>3.4722222222222099E-3</v>
      </c>
      <c r="I142" s="30">
        <v>0.41666666666666669</v>
      </c>
      <c r="J142" s="30">
        <v>0.4201388888888889</v>
      </c>
    </row>
    <row r="143" spans="1:10" ht="84.6" customHeight="1" x14ac:dyDescent="0.2">
      <c r="A143" s="22">
        <v>45744</v>
      </c>
      <c r="B143" s="22" t="s">
        <v>20</v>
      </c>
      <c r="C143" s="27" t="s">
        <v>14</v>
      </c>
      <c r="D143" s="27" t="s">
        <v>39</v>
      </c>
      <c r="E143" s="27" t="s">
        <v>78</v>
      </c>
      <c r="F143" s="27" t="s">
        <v>33</v>
      </c>
      <c r="G143" s="28" t="s">
        <v>170</v>
      </c>
      <c r="H143" s="29">
        <f t="shared" si="1"/>
        <v>3.819444444444442E-2</v>
      </c>
      <c r="I143" s="30">
        <v>0.4201388888888889</v>
      </c>
      <c r="J143" s="30">
        <v>0.45833333333333331</v>
      </c>
    </row>
    <row r="144" spans="1:10" ht="37.799999999999997" x14ac:dyDescent="0.2">
      <c r="A144" s="22">
        <v>45744</v>
      </c>
      <c r="B144" s="22" t="s">
        <v>20</v>
      </c>
      <c r="C144" s="27" t="s">
        <v>14</v>
      </c>
      <c r="D144" s="27" t="s">
        <v>39</v>
      </c>
      <c r="E144" s="27" t="s">
        <v>40</v>
      </c>
      <c r="F144" s="27" t="s">
        <v>33</v>
      </c>
      <c r="G144" s="28" t="s">
        <v>140</v>
      </c>
      <c r="H144" s="29">
        <f t="shared" si="1"/>
        <v>2.430555555555558E-2</v>
      </c>
      <c r="I144" s="30">
        <v>0.45833333333333331</v>
      </c>
      <c r="J144" s="30">
        <v>0.4826388888888889</v>
      </c>
    </row>
    <row r="145" spans="1:15" ht="88.2" x14ac:dyDescent="0.2">
      <c r="A145" s="22">
        <v>45744</v>
      </c>
      <c r="B145" s="22" t="s">
        <v>20</v>
      </c>
      <c r="C145" s="27" t="s">
        <v>14</v>
      </c>
      <c r="D145" s="27" t="s">
        <v>39</v>
      </c>
      <c r="E145" s="27" t="s">
        <v>78</v>
      </c>
      <c r="F145" s="27" t="s">
        <v>33</v>
      </c>
      <c r="G145" s="28" t="s">
        <v>170</v>
      </c>
      <c r="H145" s="29">
        <f t="shared" si="1"/>
        <v>1.7361111111111105E-2</v>
      </c>
      <c r="I145" s="30">
        <v>0.4826388888888889</v>
      </c>
      <c r="J145" s="30">
        <v>0.5</v>
      </c>
    </row>
    <row r="146" spans="1:15" x14ac:dyDescent="0.2">
      <c r="A146" s="22">
        <v>45744</v>
      </c>
      <c r="B146" s="22" t="s">
        <v>20</v>
      </c>
      <c r="C146" s="27" t="s">
        <v>14</v>
      </c>
      <c r="D146" s="27" t="s">
        <v>39</v>
      </c>
      <c r="E146" s="27" t="s">
        <v>65</v>
      </c>
      <c r="F146" s="27" t="s">
        <v>33</v>
      </c>
      <c r="G146" s="28" t="s">
        <v>171</v>
      </c>
      <c r="H146" s="29">
        <f t="shared" si="1"/>
        <v>4.166666666666663E-2</v>
      </c>
      <c r="I146" s="30">
        <v>0.5</v>
      </c>
      <c r="J146" s="30">
        <v>0.54166666666666663</v>
      </c>
    </row>
    <row r="147" spans="1:15" ht="113.4" x14ac:dyDescent="0.2">
      <c r="A147" s="22">
        <v>45744</v>
      </c>
      <c r="B147" s="22" t="s">
        <v>20</v>
      </c>
      <c r="C147" s="27" t="s">
        <v>14</v>
      </c>
      <c r="D147" s="27" t="s">
        <v>39</v>
      </c>
      <c r="E147" s="27" t="s">
        <v>78</v>
      </c>
      <c r="F147" s="27" t="s">
        <v>33</v>
      </c>
      <c r="G147" s="28" t="s">
        <v>172</v>
      </c>
      <c r="H147" s="29">
        <f t="shared" si="1"/>
        <v>0.125</v>
      </c>
      <c r="I147" s="30">
        <v>0.54166666666666663</v>
      </c>
      <c r="J147" s="30">
        <v>0.66666666666666663</v>
      </c>
    </row>
    <row r="148" spans="1:15" ht="75.599999999999994" x14ac:dyDescent="0.2">
      <c r="A148" s="22">
        <v>45744</v>
      </c>
      <c r="B148" s="22" t="s">
        <v>20</v>
      </c>
      <c r="C148" s="27" t="s">
        <v>14</v>
      </c>
      <c r="D148" s="27" t="s">
        <v>39</v>
      </c>
      <c r="E148" s="27" t="s">
        <v>40</v>
      </c>
      <c r="F148" s="27" t="s">
        <v>33</v>
      </c>
      <c r="G148" s="28" t="s">
        <v>173</v>
      </c>
      <c r="H148" s="29">
        <f t="shared" si="1"/>
        <v>6.6666666666666652E-2</v>
      </c>
      <c r="I148" s="30">
        <v>0.66666666666666663</v>
      </c>
      <c r="J148" s="30">
        <v>0.73333333333333328</v>
      </c>
      <c r="M148" s="73"/>
    </row>
    <row r="149" spans="1:15" x14ac:dyDescent="0.2">
      <c r="A149" s="31">
        <v>45745</v>
      </c>
      <c r="B149" s="31" t="s">
        <v>21</v>
      </c>
      <c r="C149" s="32"/>
      <c r="D149" s="32"/>
      <c r="E149" s="32"/>
      <c r="F149" s="32"/>
      <c r="G149" s="33"/>
      <c r="H149" s="34">
        <f t="shared" si="0"/>
        <v>0</v>
      </c>
      <c r="I149" s="35"/>
      <c r="J149" s="35"/>
    </row>
    <row r="150" spans="1:15" x14ac:dyDescent="0.2">
      <c r="A150" s="31">
        <v>45746</v>
      </c>
      <c r="B150" s="31" t="s">
        <v>22</v>
      </c>
      <c r="C150" s="32"/>
      <c r="D150" s="32"/>
      <c r="E150" s="32"/>
      <c r="F150" s="32"/>
      <c r="G150" s="33"/>
      <c r="H150" s="34">
        <f t="shared" si="0"/>
        <v>0</v>
      </c>
      <c r="I150" s="35"/>
      <c r="J150" s="35"/>
    </row>
    <row r="151" spans="1:15" ht="102" customHeight="1" x14ac:dyDescent="0.2">
      <c r="A151" s="22">
        <v>45747</v>
      </c>
      <c r="B151" s="22" t="s">
        <v>23</v>
      </c>
      <c r="C151" s="27" t="s">
        <v>14</v>
      </c>
      <c r="D151" s="27" t="s">
        <v>39</v>
      </c>
      <c r="E151" s="27" t="s">
        <v>40</v>
      </c>
      <c r="F151" s="27" t="s">
        <v>33</v>
      </c>
      <c r="G151" s="28" t="s">
        <v>174</v>
      </c>
      <c r="H151" s="116">
        <f t="shared" ref="H151:H160" si="2">J151-I151</f>
        <v>3.1944444444444442E-2</v>
      </c>
      <c r="I151" s="117">
        <v>0.3263888888888889</v>
      </c>
      <c r="J151" s="117">
        <v>0.35833333333333334</v>
      </c>
    </row>
    <row r="152" spans="1:15" ht="37.799999999999997" x14ac:dyDescent="0.2">
      <c r="A152" s="113">
        <v>45747</v>
      </c>
      <c r="B152" s="113" t="s">
        <v>23</v>
      </c>
      <c r="C152" s="114" t="s">
        <v>14</v>
      </c>
      <c r="D152" s="114" t="s">
        <v>39</v>
      </c>
      <c r="E152" s="114" t="s">
        <v>40</v>
      </c>
      <c r="F152" s="114" t="s">
        <v>33</v>
      </c>
      <c r="G152" s="115" t="s">
        <v>175</v>
      </c>
      <c r="H152" s="116">
        <f t="shared" si="2"/>
        <v>2.0833333333333315E-2</v>
      </c>
      <c r="I152" s="112">
        <v>0.35833333333333334</v>
      </c>
      <c r="J152" s="112">
        <v>0.37916666666666665</v>
      </c>
      <c r="K152" s="118"/>
      <c r="L152" s="118"/>
      <c r="M152" s="118"/>
      <c r="N152" s="118"/>
      <c r="O152" s="118"/>
    </row>
    <row r="153" spans="1:15" ht="37.799999999999997" x14ac:dyDescent="0.2">
      <c r="A153" s="113">
        <v>45747</v>
      </c>
      <c r="B153" s="113" t="s">
        <v>23</v>
      </c>
      <c r="C153" s="114" t="s">
        <v>14</v>
      </c>
      <c r="D153" s="114" t="s">
        <v>39</v>
      </c>
      <c r="E153" s="114" t="s">
        <v>78</v>
      </c>
      <c r="F153" s="114" t="s">
        <v>33</v>
      </c>
      <c r="G153" s="115" t="s">
        <v>176</v>
      </c>
      <c r="H153" s="116">
        <f t="shared" si="2"/>
        <v>3.7500000000000033E-2</v>
      </c>
      <c r="I153" s="117">
        <v>0.37916666666666665</v>
      </c>
      <c r="J153" s="117">
        <v>0.41666666666666669</v>
      </c>
      <c r="K153" s="118"/>
      <c r="L153" s="118"/>
      <c r="M153" s="118"/>
      <c r="N153" s="118"/>
      <c r="O153" s="118"/>
    </row>
    <row r="154" spans="1:15" ht="37.950000000000003" customHeight="1" x14ac:dyDescent="0.2">
      <c r="A154" s="113">
        <v>45747</v>
      </c>
      <c r="B154" s="113" t="s">
        <v>23</v>
      </c>
      <c r="C154" s="114" t="s">
        <v>14</v>
      </c>
      <c r="D154" s="114" t="s">
        <v>39</v>
      </c>
      <c r="E154" s="114" t="s">
        <v>40</v>
      </c>
      <c r="F154" s="114" t="s">
        <v>33</v>
      </c>
      <c r="G154" s="115" t="s">
        <v>163</v>
      </c>
      <c r="H154" s="116">
        <f t="shared" si="2"/>
        <v>3.4722222222222099E-3</v>
      </c>
      <c r="I154" s="117">
        <v>0.41666666666666669</v>
      </c>
      <c r="J154" s="117">
        <v>0.4201388888888889</v>
      </c>
      <c r="K154" s="118"/>
      <c r="L154" s="118"/>
      <c r="M154" s="118"/>
      <c r="N154" s="118"/>
      <c r="O154" s="118"/>
    </row>
    <row r="155" spans="1:15" ht="52.95" customHeight="1" x14ac:dyDescent="0.2">
      <c r="A155" s="113">
        <v>45747</v>
      </c>
      <c r="B155" s="113" t="s">
        <v>23</v>
      </c>
      <c r="C155" s="114" t="s">
        <v>14</v>
      </c>
      <c r="D155" s="114" t="s">
        <v>39</v>
      </c>
      <c r="E155" s="114" t="s">
        <v>78</v>
      </c>
      <c r="F155" s="114" t="s">
        <v>33</v>
      </c>
      <c r="G155" s="115" t="s">
        <v>177</v>
      </c>
      <c r="H155" s="116">
        <f t="shared" si="2"/>
        <v>3.819444444444442E-2</v>
      </c>
      <c r="I155" s="117">
        <v>0.4201388888888889</v>
      </c>
      <c r="J155" s="117">
        <v>0.45833333333333331</v>
      </c>
      <c r="K155" s="118"/>
      <c r="L155" s="118"/>
      <c r="M155" s="118"/>
      <c r="N155" s="118"/>
      <c r="O155" s="118"/>
    </row>
    <row r="156" spans="1:15" ht="40.950000000000003" customHeight="1" x14ac:dyDescent="0.2">
      <c r="A156" s="113">
        <v>45747</v>
      </c>
      <c r="B156" s="113" t="s">
        <v>23</v>
      </c>
      <c r="C156" s="114" t="s">
        <v>14</v>
      </c>
      <c r="D156" s="114" t="s">
        <v>39</v>
      </c>
      <c r="E156" s="114" t="s">
        <v>40</v>
      </c>
      <c r="F156" s="114" t="s">
        <v>33</v>
      </c>
      <c r="G156" s="115" t="s">
        <v>140</v>
      </c>
      <c r="H156" s="116">
        <f t="shared" si="2"/>
        <v>1.8055555555555547E-2</v>
      </c>
      <c r="I156" s="117">
        <v>0.45833333333333331</v>
      </c>
      <c r="J156" s="117">
        <v>0.47638888888888886</v>
      </c>
      <c r="K156" s="118"/>
      <c r="L156" s="118"/>
      <c r="M156" s="118"/>
      <c r="N156" s="118"/>
      <c r="O156" s="118"/>
    </row>
    <row r="157" spans="1:15" ht="67.2" customHeight="1" x14ac:dyDescent="0.2">
      <c r="A157" s="113">
        <v>45747</v>
      </c>
      <c r="B157" s="113" t="s">
        <v>23</v>
      </c>
      <c r="C157" s="114" t="s">
        <v>14</v>
      </c>
      <c r="D157" s="114" t="s">
        <v>39</v>
      </c>
      <c r="E157" s="114" t="s">
        <v>78</v>
      </c>
      <c r="F157" s="114" t="s">
        <v>33</v>
      </c>
      <c r="G157" s="115" t="s">
        <v>177</v>
      </c>
      <c r="H157" s="116">
        <f t="shared" si="2"/>
        <v>2.3611111111111138E-2</v>
      </c>
      <c r="I157" s="117">
        <v>0.47638888888888886</v>
      </c>
      <c r="J157" s="117">
        <v>0.5</v>
      </c>
      <c r="K157" s="118"/>
      <c r="L157" s="118"/>
      <c r="M157" s="118"/>
      <c r="N157" s="118"/>
      <c r="O157" s="118"/>
    </row>
    <row r="158" spans="1:15" ht="15" customHeight="1" x14ac:dyDescent="0.2">
      <c r="A158" s="113">
        <v>45747</v>
      </c>
      <c r="B158" s="113" t="s">
        <v>23</v>
      </c>
      <c r="C158" s="114" t="s">
        <v>14</v>
      </c>
      <c r="D158" s="114" t="s">
        <v>39</v>
      </c>
      <c r="E158" s="114" t="s">
        <v>65</v>
      </c>
      <c r="F158" s="114" t="s">
        <v>33</v>
      </c>
      <c r="G158" s="115" t="s">
        <v>171</v>
      </c>
      <c r="H158" s="116">
        <f t="shared" si="2"/>
        <v>4.166666666666663E-2</v>
      </c>
      <c r="I158" s="117">
        <v>0.5</v>
      </c>
      <c r="J158" s="117">
        <v>0.54166666666666663</v>
      </c>
      <c r="K158" s="118"/>
      <c r="L158" s="121"/>
      <c r="M158" s="118"/>
      <c r="N158" s="118"/>
      <c r="O158" s="118"/>
    </row>
    <row r="159" spans="1:15" ht="49.95" customHeight="1" x14ac:dyDescent="0.2">
      <c r="A159" s="113">
        <v>45747</v>
      </c>
      <c r="B159" s="113" t="s">
        <v>23</v>
      </c>
      <c r="C159" s="114" t="s">
        <v>14</v>
      </c>
      <c r="D159" s="114" t="s">
        <v>39</v>
      </c>
      <c r="E159" s="114" t="s">
        <v>78</v>
      </c>
      <c r="F159" s="114" t="s">
        <v>33</v>
      </c>
      <c r="G159" s="115" t="s">
        <v>178</v>
      </c>
      <c r="H159" s="116">
        <f t="shared" si="2"/>
        <v>0.125</v>
      </c>
      <c r="I159" s="117">
        <v>0.54166666666666663</v>
      </c>
      <c r="J159" s="117">
        <v>0.66666666666666663</v>
      </c>
      <c r="K159" s="118"/>
      <c r="L159" s="118"/>
      <c r="M159" s="118"/>
      <c r="N159" s="118"/>
      <c r="O159" s="118"/>
    </row>
    <row r="160" spans="1:15" ht="56.4" customHeight="1" x14ac:dyDescent="0.2">
      <c r="A160" s="113">
        <v>45747</v>
      </c>
      <c r="B160" s="113" t="s">
        <v>23</v>
      </c>
      <c r="C160" s="114" t="s">
        <v>14</v>
      </c>
      <c r="D160" s="114" t="s">
        <v>39</v>
      </c>
      <c r="E160" s="114" t="s">
        <v>40</v>
      </c>
      <c r="F160" s="114" t="s">
        <v>33</v>
      </c>
      <c r="G160" s="115" t="s">
        <v>179</v>
      </c>
      <c r="H160" s="116">
        <f t="shared" si="2"/>
        <v>6.25E-2</v>
      </c>
      <c r="I160" s="117">
        <v>0.66666666666666663</v>
      </c>
      <c r="J160" s="117">
        <v>0.72916666666666663</v>
      </c>
      <c r="K160" s="118"/>
      <c r="L160" s="118"/>
      <c r="M160" s="118"/>
      <c r="N160" s="118"/>
      <c r="O160" s="118"/>
    </row>
    <row r="161" spans="1:15" ht="14.1" customHeight="1" x14ac:dyDescent="0.2">
      <c r="A161" s="119"/>
      <c r="B161" s="119"/>
      <c r="C161" s="118"/>
      <c r="D161" s="118"/>
      <c r="E161" s="118"/>
      <c r="F161" s="118"/>
      <c r="G161" s="120"/>
      <c r="H161" s="121"/>
      <c r="I161" s="122"/>
      <c r="J161" s="122"/>
      <c r="K161" s="118"/>
      <c r="L161" s="118"/>
      <c r="M161" s="118"/>
      <c r="N161" s="118"/>
      <c r="O161" s="118"/>
    </row>
    <row r="162" spans="1:15" ht="14.1" customHeight="1" thickBot="1" x14ac:dyDescent="0.25">
      <c r="A162" s="119"/>
      <c r="B162" s="119"/>
      <c r="C162" s="118"/>
      <c r="D162" s="118"/>
      <c r="E162" s="118"/>
      <c r="F162" s="118"/>
      <c r="G162" s="120"/>
      <c r="H162" s="121"/>
      <c r="I162" s="122"/>
      <c r="J162" s="122"/>
      <c r="K162" s="118"/>
      <c r="L162" s="118"/>
      <c r="M162" s="118"/>
      <c r="N162" s="118"/>
      <c r="O162" s="118"/>
    </row>
    <row r="163" spans="1:15" ht="14.1" customHeight="1" x14ac:dyDescent="0.25">
      <c r="A163" s="4"/>
      <c r="B163" s="4"/>
      <c r="C163" s="5"/>
      <c r="D163" s="6"/>
      <c r="E163" s="7" t="s">
        <v>24</v>
      </c>
      <c r="F163" s="8">
        <f>F164*8</f>
        <v>160</v>
      </c>
      <c r="H163" s="40"/>
    </row>
    <row r="164" spans="1:15" ht="14.1" customHeight="1" thickBot="1" x14ac:dyDescent="0.3">
      <c r="A164" s="4"/>
      <c r="B164" s="4"/>
      <c r="C164" s="9"/>
      <c r="D164" s="2"/>
      <c r="E164" s="10" t="s">
        <v>25</v>
      </c>
      <c r="F164" s="11">
        <v>20</v>
      </c>
      <c r="H164" s="40"/>
    </row>
    <row r="165" spans="1:15" ht="14.1" customHeight="1" thickBot="1" x14ac:dyDescent="0.3">
      <c r="A165" s="143" t="s">
        <v>26</v>
      </c>
      <c r="B165" s="143"/>
      <c r="C165" s="143"/>
      <c r="D165" s="12"/>
      <c r="E165" s="2"/>
      <c r="F165" s="2"/>
      <c r="H165" s="40"/>
    </row>
    <row r="166" spans="1:15" ht="13.8" x14ac:dyDescent="0.25">
      <c r="A166" s="13"/>
      <c r="B166" s="13"/>
      <c r="C166" s="6"/>
      <c r="D166" s="6"/>
      <c r="E166" s="14" t="s">
        <v>27</v>
      </c>
      <c r="F166" s="15">
        <f>SUMIF(F9:F151,"Billable",H9:H151)</f>
        <v>0</v>
      </c>
      <c r="H166" s="38"/>
    </row>
    <row r="167" spans="1:15" ht="15" customHeight="1" thickBot="1" x14ac:dyDescent="0.3">
      <c r="A167" s="144" t="s">
        <v>28</v>
      </c>
      <c r="B167" s="144"/>
      <c r="C167" s="144"/>
      <c r="D167" s="16"/>
      <c r="E167" s="17" t="s">
        <v>29</v>
      </c>
      <c r="F167" s="18">
        <f>SUMIF(F9:F151,"Non-Billable",H9:H151)</f>
        <v>8.1430555555555593</v>
      </c>
      <c r="H167" s="40"/>
    </row>
    <row r="168" spans="1:15" ht="14.4" thickBot="1" x14ac:dyDescent="0.3">
      <c r="A168" s="2"/>
      <c r="B168" s="2"/>
      <c r="C168" s="2"/>
      <c r="D168" s="2"/>
      <c r="E168" s="19" t="s">
        <v>30</v>
      </c>
      <c r="F168" s="44">
        <f>F166+F167</f>
        <v>8.1430555555555593</v>
      </c>
      <c r="H168" s="40"/>
    </row>
    <row r="169" spans="1:15" ht="13.8" thickBot="1" x14ac:dyDescent="0.3">
      <c r="A169" s="2"/>
      <c r="B169" s="2"/>
      <c r="C169" s="2"/>
      <c r="D169" s="2"/>
      <c r="E169" s="2"/>
      <c r="F169" s="2"/>
      <c r="H169" s="40"/>
    </row>
    <row r="170" spans="1:15" ht="13.8" thickBot="1" x14ac:dyDescent="0.3">
      <c r="A170" s="2"/>
      <c r="B170" s="2"/>
      <c r="C170" s="2"/>
      <c r="D170" s="2"/>
      <c r="E170" s="20" t="s">
        <v>31</v>
      </c>
      <c r="F170" s="21"/>
      <c r="H170" s="40"/>
    </row>
    <row r="171" spans="1:15" ht="13.2" thickBot="1" x14ac:dyDescent="0.25">
      <c r="E171" s="39"/>
      <c r="H171" s="40"/>
    </row>
  </sheetData>
  <mergeCells count="2">
    <mergeCell ref="A165:C165"/>
    <mergeCell ref="A167:C167"/>
  </mergeCells>
  <phoneticPr fontId="10" type="noConversion"/>
  <conditionalFormatting sqref="A6:B6 D6:E7 D163:E163">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171">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165:E167 E170">
    <cfRule type="containsText" dxfId="6" priority="1" operator="containsText" text="Religious Leave">
      <formula>NOT(ISERROR(SEARCH("Religious Leave",D165)))</formula>
    </cfRule>
    <cfRule type="containsText" dxfId="5" priority="2" operator="containsText" text="Birthday Leave">
      <formula>NOT(ISERROR(SEARCH("Birthday Leave",D165)))</formula>
    </cfRule>
    <cfRule type="containsText" dxfId="4" priority="3" operator="containsText" text="Study Leave">
      <formula>NOT(ISERROR(SEARCH("Study Leave",D165)))</formula>
    </cfRule>
    <cfRule type="containsText" dxfId="3" priority="4" operator="containsText" text="Family Responsibility Leave">
      <formula>NOT(ISERROR(SEARCH("Family Responsibility Leave",D165)))</formula>
    </cfRule>
    <cfRule type="containsText" dxfId="2" priority="5" operator="containsText" text="Sick Leave">
      <formula>NOT(ISERROR(SEARCH("Sick Leave",D165)))</formula>
    </cfRule>
    <cfRule type="containsText" dxfId="1" priority="6" operator="containsText" text="Annual Leave">
      <formula>NOT(ISERROR(SEARCH("Annual Leave",D165)))</formula>
    </cfRule>
    <cfRule type="cellIs" dxfId="0" priority="7" operator="equal">
      <formula>"Public Holiday"</formula>
    </cfRule>
  </conditionalFormatting>
  <dataValidations count="1">
    <dataValidation type="time" allowBlank="1" showErrorMessage="1" errorTitle="Invalid Time Format" error="Please input a valid time. For e.g. 08:00" sqref="I16:I17 I9:J15 I18:J60 I63:J90 I133 I92:J132 J133:J134 I153:J162 I135:J151"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Key!$H$3:$H$62</xm:f>
          </x14:formula1>
          <xm:sqref>B5</xm:sqref>
        </x14:dataValidation>
        <x14:dataValidation type="list" allowBlank="1" showInputMessage="1" showErrorMessage="1" xr:uid="{B11ED7AE-D90D-41B0-B483-088E73216738}">
          <x14:formula1>
            <xm:f>Key!$F$3:$F$52</xm:f>
          </x14:formula1>
          <xm:sqref>E9:E67 E72:E90 F111 E92:E162</xm:sqref>
        </x14:dataValidation>
        <x14:dataValidation type="list" allowBlank="1" showInputMessage="1" showErrorMessage="1" xr:uid="{C39A6A8E-1249-4B2F-AB25-70B85A400C15}">
          <x14:formula1>
            <xm:f>Key!$K$3:$K$4</xm:f>
          </x14:formula1>
          <xm:sqref>F9:F110 F112:F162</xm:sqref>
        </x14:dataValidation>
        <x14:dataValidation type="list" allowBlank="1" showInputMessage="1" showErrorMessage="1" xr:uid="{21903AE5-45BA-428F-AFA8-22E9A01182F3}">
          <x14:formula1>
            <xm:f>Key!$B$2:$B$51</xm:f>
          </x14:formula1>
          <xm:sqref>C9:C162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59765625" defaultRowHeight="12.6" x14ac:dyDescent="0.2"/>
  <cols>
    <col min="1" max="1" width="12" style="23" customWidth="1"/>
    <col min="2" max="2" width="13.09765625" style="23" customWidth="1"/>
    <col min="3" max="3" width="16.19921875" style="23" bestFit="1" customWidth="1"/>
    <col min="4" max="4" width="8.59765625" style="23"/>
    <col min="5" max="5" width="13.3984375" style="23" customWidth="1"/>
    <col min="6" max="6" width="14.5" style="23" customWidth="1"/>
    <col min="7" max="16384" width="8.59765625" style="23"/>
  </cols>
  <sheetData>
    <row r="1" spans="1:15" ht="13.5" customHeight="1" x14ac:dyDescent="0.2">
      <c r="A1" s="94"/>
      <c r="B1" s="94"/>
      <c r="C1" s="94"/>
      <c r="D1" s="94"/>
      <c r="E1" s="94"/>
      <c r="F1" s="94"/>
    </row>
    <row r="2" spans="1:15" x14ac:dyDescent="0.2">
      <c r="A2" s="93"/>
      <c r="B2" s="93"/>
      <c r="C2" s="98"/>
      <c r="D2" s="98"/>
      <c r="E2" s="98"/>
      <c r="F2" s="98"/>
    </row>
    <row r="3" spans="1:15" x14ac:dyDescent="0.2">
      <c r="A3" s="93"/>
      <c r="B3" s="93"/>
      <c r="C3" s="99"/>
      <c r="D3" s="99"/>
      <c r="E3" s="99"/>
      <c r="F3" s="99"/>
    </row>
    <row r="4" spans="1:15" x14ac:dyDescent="0.2">
      <c r="A4" s="93"/>
      <c r="B4" s="93"/>
      <c r="C4" s="100"/>
      <c r="D4" s="100"/>
      <c r="E4" s="100"/>
      <c r="F4" s="100"/>
    </row>
    <row r="5" spans="1:15" x14ac:dyDescent="0.2">
      <c r="A5" s="37" t="s">
        <v>0</v>
      </c>
      <c r="B5" s="23" t="s">
        <v>1</v>
      </c>
      <c r="C5" s="100"/>
      <c r="D5" s="100"/>
      <c r="E5" s="100"/>
      <c r="F5" s="100"/>
    </row>
    <row r="6" spans="1:15" x14ac:dyDescent="0.2">
      <c r="A6" s="93" t="s">
        <v>180</v>
      </c>
      <c r="B6" s="95">
        <f>F17</f>
        <v>200</v>
      </c>
      <c r="C6" s="98"/>
      <c r="D6" s="99"/>
      <c r="E6" s="99"/>
      <c r="F6" s="99"/>
    </row>
    <row r="7" spans="1:15" ht="13.5" customHeight="1" x14ac:dyDescent="0.2">
      <c r="A7" s="87"/>
      <c r="B7" s="88"/>
      <c r="C7" s="88"/>
      <c r="D7" s="99"/>
      <c r="E7" s="99"/>
      <c r="F7" s="99"/>
    </row>
    <row r="8" spans="1:15" ht="27.6" customHeight="1" x14ac:dyDescent="0.2">
      <c r="A8" s="153" t="s">
        <v>181</v>
      </c>
      <c r="B8" s="153"/>
      <c r="C8" s="153"/>
      <c r="D8" s="153"/>
      <c r="E8" s="153"/>
      <c r="F8" s="153"/>
    </row>
    <row r="9" spans="1:15" ht="13.5" customHeight="1" thickBot="1" x14ac:dyDescent="0.25">
      <c r="A9" s="96" t="s">
        <v>182</v>
      </c>
      <c r="B9" s="156" t="s">
        <v>183</v>
      </c>
      <c r="C9" s="157"/>
      <c r="D9" s="156" t="s">
        <v>184</v>
      </c>
      <c r="E9" s="157"/>
      <c r="F9" s="97" t="s">
        <v>185</v>
      </c>
    </row>
    <row r="10" spans="1:15" x14ac:dyDescent="0.2">
      <c r="A10" s="92">
        <v>45566</v>
      </c>
      <c r="B10" s="147" t="s">
        <v>186</v>
      </c>
      <c r="C10" s="147"/>
      <c r="D10" s="147" t="s">
        <v>187</v>
      </c>
      <c r="E10" s="147"/>
      <c r="F10" s="91">
        <v>200</v>
      </c>
      <c r="G10" s="154" t="s">
        <v>188</v>
      </c>
      <c r="H10" s="155"/>
      <c r="I10" s="155"/>
      <c r="J10" s="155"/>
      <c r="K10" s="155"/>
      <c r="L10" s="155"/>
      <c r="M10" s="155"/>
      <c r="N10" s="155"/>
      <c r="O10" s="155"/>
    </row>
    <row r="11" spans="1:15" x14ac:dyDescent="0.2">
      <c r="A11" s="92">
        <v>45566</v>
      </c>
      <c r="B11" s="145" t="s">
        <v>189</v>
      </c>
      <c r="C11" s="146"/>
      <c r="D11" s="147" t="s">
        <v>190</v>
      </c>
      <c r="E11" s="147"/>
      <c r="F11" s="91"/>
    </row>
    <row r="12" spans="1:15" x14ac:dyDescent="0.2">
      <c r="A12" s="92">
        <v>45566</v>
      </c>
      <c r="B12" s="145" t="s">
        <v>191</v>
      </c>
      <c r="C12" s="146"/>
      <c r="D12" s="147"/>
      <c r="E12" s="147"/>
      <c r="F12" s="91"/>
    </row>
    <row r="13" spans="1:15" x14ac:dyDescent="0.2">
      <c r="A13" s="92">
        <v>45566</v>
      </c>
      <c r="B13" s="145"/>
      <c r="C13" s="146"/>
      <c r="D13" s="147"/>
      <c r="E13" s="147"/>
      <c r="F13" s="91"/>
    </row>
    <row r="14" spans="1:15" x14ac:dyDescent="0.2">
      <c r="A14" s="92">
        <v>45566</v>
      </c>
      <c r="B14" s="145"/>
      <c r="C14" s="146"/>
      <c r="D14" s="147"/>
      <c r="E14" s="147"/>
      <c r="F14" s="91"/>
    </row>
    <row r="15" spans="1:15" x14ac:dyDescent="0.2">
      <c r="A15" s="92">
        <v>45566</v>
      </c>
      <c r="B15" s="151"/>
      <c r="C15" s="152"/>
      <c r="D15" s="147"/>
      <c r="E15" s="147"/>
      <c r="F15" s="91"/>
    </row>
    <row r="16" spans="1:15" ht="13.2" thickBot="1" x14ac:dyDescent="0.25">
      <c r="A16" s="92">
        <v>45566</v>
      </c>
      <c r="B16" s="145"/>
      <c r="C16" s="146"/>
      <c r="D16" s="147"/>
      <c r="E16" s="147"/>
      <c r="F16" s="91"/>
    </row>
    <row r="17" spans="1:6" ht="13.5" customHeight="1" thickBot="1" x14ac:dyDescent="0.25">
      <c r="A17" s="148" t="s">
        <v>192</v>
      </c>
      <c r="B17" s="149"/>
      <c r="C17" s="149"/>
      <c r="D17" s="149"/>
      <c r="E17" s="150"/>
      <c r="F17" s="90">
        <f>SUM(F10:F16)</f>
        <v>200</v>
      </c>
    </row>
    <row r="18" spans="1:6" x14ac:dyDescent="0.2">
      <c r="A18" s="87"/>
      <c r="B18" s="88"/>
      <c r="C18" s="88"/>
      <c r="D18" s="88"/>
      <c r="E18" s="89"/>
      <c r="F18" s="89"/>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59765625" defaultRowHeight="12.6" x14ac:dyDescent="0.2"/>
  <cols>
    <col min="1" max="1" width="15.5" style="23" bestFit="1" customWidth="1"/>
    <col min="2" max="2" width="11.8984375" style="23" customWidth="1"/>
    <col min="3" max="3" width="9.8984375" style="23" customWidth="1"/>
    <col min="4" max="16384" width="8.59765625" style="23"/>
  </cols>
  <sheetData>
    <row r="4" spans="1:6" x14ac:dyDescent="0.2">
      <c r="A4" s="158"/>
      <c r="B4" s="158"/>
    </row>
    <row r="5" spans="1:6" x14ac:dyDescent="0.2">
      <c r="A5" s="37" t="s">
        <v>0</v>
      </c>
      <c r="B5" s="23" t="s">
        <v>1</v>
      </c>
    </row>
    <row r="6" spans="1:6" x14ac:dyDescent="0.2">
      <c r="A6" s="93" t="s">
        <v>193</v>
      </c>
      <c r="B6" s="93"/>
    </row>
    <row r="7" spans="1:6" x14ac:dyDescent="0.2">
      <c r="A7" s="109" t="s">
        <v>194</v>
      </c>
      <c r="B7" s="109"/>
    </row>
    <row r="8" spans="1:6" x14ac:dyDescent="0.2">
      <c r="A8" s="110"/>
      <c r="B8" s="99"/>
    </row>
    <row r="9" spans="1:6" ht="27.6" customHeight="1" x14ac:dyDescent="0.2">
      <c r="A9" s="171" t="s">
        <v>195</v>
      </c>
      <c r="B9" s="171"/>
      <c r="C9" s="171"/>
      <c r="D9" s="171"/>
      <c r="E9" s="171"/>
      <c r="F9" s="171"/>
    </row>
    <row r="10" spans="1:6" ht="37.799999999999997" x14ac:dyDescent="0.2">
      <c r="A10" s="101" t="s">
        <v>196</v>
      </c>
      <c r="B10" s="101" t="s">
        <v>197</v>
      </c>
      <c r="C10" s="101" t="s">
        <v>198</v>
      </c>
      <c r="D10" s="101" t="s">
        <v>199</v>
      </c>
      <c r="E10" s="101" t="s">
        <v>200</v>
      </c>
      <c r="F10" s="101" t="s">
        <v>201</v>
      </c>
    </row>
    <row r="11" spans="1:6" x14ac:dyDescent="0.2">
      <c r="A11" s="101"/>
      <c r="B11" s="101"/>
      <c r="C11" s="101"/>
      <c r="D11" s="101"/>
      <c r="E11" s="101"/>
      <c r="F11" s="101"/>
    </row>
    <row r="12" spans="1:6" x14ac:dyDescent="0.2">
      <c r="A12" s="101"/>
      <c r="B12" s="101"/>
      <c r="C12" s="101"/>
      <c r="D12" s="101"/>
      <c r="E12" s="101"/>
      <c r="F12" s="101"/>
    </row>
    <row r="13" spans="1:6" ht="13.2" thickBot="1" x14ac:dyDescent="0.25">
      <c r="A13" s="101"/>
      <c r="B13" s="101"/>
      <c r="C13" s="101"/>
      <c r="D13" s="101"/>
      <c r="E13" s="101"/>
      <c r="F13" s="101"/>
    </row>
    <row r="14" spans="1:6" ht="13.2" thickBot="1" x14ac:dyDescent="0.25">
      <c r="A14" s="102"/>
      <c r="B14" s="103"/>
      <c r="C14" s="103"/>
      <c r="D14" s="104">
        <f>SUM(D11:D13)</f>
        <v>0</v>
      </c>
      <c r="E14" s="103"/>
      <c r="F14" s="105"/>
    </row>
    <row r="15" spans="1:6" ht="13.2" thickBot="1" x14ac:dyDescent="0.25">
      <c r="A15" s="162"/>
      <c r="B15" s="163"/>
      <c r="C15" s="163"/>
      <c r="D15" s="163"/>
      <c r="E15" s="163"/>
      <c r="F15" s="163"/>
    </row>
    <row r="16" spans="1:6" x14ac:dyDescent="0.2">
      <c r="A16" s="172" t="s">
        <v>202</v>
      </c>
      <c r="B16" s="173"/>
      <c r="C16" s="173"/>
      <c r="D16" s="173"/>
      <c r="E16" s="173"/>
      <c r="F16" s="174"/>
    </row>
    <row r="17" spans="1:6" x14ac:dyDescent="0.2">
      <c r="A17" s="159"/>
      <c r="B17" s="160"/>
      <c r="C17" s="160"/>
      <c r="D17" s="160"/>
      <c r="E17" s="160"/>
      <c r="F17" s="161"/>
    </row>
    <row r="18" spans="1:6" x14ac:dyDescent="0.2">
      <c r="A18" s="159"/>
      <c r="B18" s="160"/>
      <c r="C18" s="160"/>
      <c r="D18" s="160"/>
      <c r="E18" s="160"/>
      <c r="F18" s="161"/>
    </row>
    <row r="19" spans="1:6" ht="13.2" thickBot="1" x14ac:dyDescent="0.25">
      <c r="A19" s="162"/>
      <c r="B19" s="163"/>
      <c r="C19" s="163"/>
      <c r="D19" s="163"/>
      <c r="E19" s="163"/>
      <c r="F19" s="164"/>
    </row>
    <row r="20" spans="1:6" ht="13.2" thickBot="1" x14ac:dyDescent="0.25"/>
    <row r="21" spans="1:6" x14ac:dyDescent="0.2">
      <c r="A21" s="106" t="s">
        <v>3</v>
      </c>
      <c r="B21" s="165"/>
      <c r="C21" s="165"/>
      <c r="D21" s="165"/>
      <c r="E21" s="165"/>
      <c r="F21" s="166"/>
    </row>
    <row r="22" spans="1:6" x14ac:dyDescent="0.2">
      <c r="A22" s="107" t="s">
        <v>203</v>
      </c>
      <c r="B22" s="167"/>
      <c r="C22" s="167"/>
      <c r="D22" s="167"/>
      <c r="E22" s="167"/>
      <c r="F22" s="168"/>
    </row>
    <row r="23" spans="1:6" ht="13.2" thickBot="1" x14ac:dyDescent="0.25">
      <c r="A23" s="108" t="s">
        <v>204</v>
      </c>
      <c r="B23" s="169"/>
      <c r="C23" s="169"/>
      <c r="D23" s="169"/>
      <c r="E23" s="169"/>
      <c r="F23" s="170"/>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topLeftCell="A18" workbookViewId="0">
      <selection activeCell="H56" sqref="H56"/>
    </sheetView>
  </sheetViews>
  <sheetFormatPr defaultColWidth="8.59765625" defaultRowHeight="14.4" x14ac:dyDescent="0.3"/>
  <cols>
    <col min="1" max="1" width="8.59765625" style="52"/>
    <col min="2" max="2" width="25.5" style="52" customWidth="1"/>
    <col min="3" max="3" width="8.59765625" style="52"/>
    <col min="4" max="4" width="19.3984375" style="52" customWidth="1"/>
    <col min="5" max="5" width="8.59765625" style="52"/>
    <col min="6" max="6" width="21.8984375" style="52" customWidth="1"/>
    <col min="7" max="16384" width="8.59765625" style="52"/>
  </cols>
  <sheetData>
    <row r="2" spans="2:11" ht="15" thickBot="1" x14ac:dyDescent="0.35">
      <c r="B2" s="75" t="s">
        <v>14</v>
      </c>
      <c r="D2" s="53" t="s">
        <v>205</v>
      </c>
      <c r="F2" s="52" t="s">
        <v>7</v>
      </c>
      <c r="H2" s="52" t="s">
        <v>206</v>
      </c>
      <c r="K2" s="53" t="s">
        <v>16</v>
      </c>
    </row>
    <row r="3" spans="2:11" x14ac:dyDescent="0.3">
      <c r="B3" s="75" t="s">
        <v>207</v>
      </c>
      <c r="D3" s="85" t="s">
        <v>208</v>
      </c>
      <c r="F3" s="55" t="s">
        <v>15</v>
      </c>
      <c r="H3" s="76" t="s">
        <v>209</v>
      </c>
      <c r="K3" s="56" t="s">
        <v>33</v>
      </c>
    </row>
    <row r="4" spans="2:11" x14ac:dyDescent="0.3">
      <c r="B4" s="75" t="s">
        <v>210</v>
      </c>
      <c r="D4" s="54" t="s">
        <v>211</v>
      </c>
      <c r="F4" s="57" t="s">
        <v>212</v>
      </c>
      <c r="H4" s="77" t="s">
        <v>213</v>
      </c>
      <c r="K4" s="58" t="s">
        <v>16</v>
      </c>
    </row>
    <row r="5" spans="2:11" x14ac:dyDescent="0.3">
      <c r="B5" s="75" t="s">
        <v>214</v>
      </c>
      <c r="D5" s="85" t="s">
        <v>215</v>
      </c>
      <c r="F5" s="59" t="s">
        <v>216</v>
      </c>
      <c r="H5" s="78" t="s">
        <v>217</v>
      </c>
    </row>
    <row r="6" spans="2:11" x14ac:dyDescent="0.3">
      <c r="B6" s="75" t="s">
        <v>218</v>
      </c>
      <c r="D6" s="54" t="s">
        <v>219</v>
      </c>
      <c r="F6" s="57" t="s">
        <v>220</v>
      </c>
      <c r="H6" s="77" t="s">
        <v>221</v>
      </c>
    </row>
    <row r="7" spans="2:11" x14ac:dyDescent="0.3">
      <c r="B7" s="75" t="s">
        <v>222</v>
      </c>
      <c r="D7" s="85" t="s">
        <v>223</v>
      </c>
      <c r="F7" s="59" t="s">
        <v>78</v>
      </c>
      <c r="H7" s="76" t="s">
        <v>224</v>
      </c>
    </row>
    <row r="8" spans="2:11" x14ac:dyDescent="0.3">
      <c r="B8" s="75" t="s">
        <v>225</v>
      </c>
      <c r="D8" s="54" t="s">
        <v>226</v>
      </c>
      <c r="F8" s="57" t="s">
        <v>227</v>
      </c>
      <c r="H8" s="76" t="s">
        <v>228</v>
      </c>
      <c r="K8" s="52" t="s">
        <v>229</v>
      </c>
    </row>
    <row r="9" spans="2:11" x14ac:dyDescent="0.3">
      <c r="B9" s="75" t="s">
        <v>230</v>
      </c>
      <c r="D9" s="85" t="s">
        <v>231</v>
      </c>
      <c r="F9" s="59" t="s">
        <v>232</v>
      </c>
      <c r="H9" s="76" t="s">
        <v>233</v>
      </c>
      <c r="K9" s="52" t="s">
        <v>187</v>
      </c>
    </row>
    <row r="10" spans="2:11" x14ac:dyDescent="0.3">
      <c r="B10" s="75" t="s">
        <v>234</v>
      </c>
      <c r="D10" s="54" t="s">
        <v>235</v>
      </c>
      <c r="F10" s="57" t="s">
        <v>236</v>
      </c>
      <c r="H10" s="77" t="s">
        <v>237</v>
      </c>
    </row>
    <row r="11" spans="2:11" x14ac:dyDescent="0.3">
      <c r="B11" s="75" t="s">
        <v>238</v>
      </c>
      <c r="D11" s="85" t="s">
        <v>239</v>
      </c>
      <c r="F11" s="59" t="s">
        <v>240</v>
      </c>
      <c r="H11" s="77" t="s">
        <v>241</v>
      </c>
      <c r="K11" s="52" t="s">
        <v>242</v>
      </c>
    </row>
    <row r="12" spans="2:11" x14ac:dyDescent="0.3">
      <c r="B12" s="75" t="s">
        <v>243</v>
      </c>
      <c r="F12" s="57" t="s">
        <v>244</v>
      </c>
      <c r="H12" s="76" t="s">
        <v>245</v>
      </c>
      <c r="K12" s="52" t="s">
        <v>246</v>
      </c>
    </row>
    <row r="13" spans="2:11" x14ac:dyDescent="0.3">
      <c r="B13" s="75" t="s">
        <v>247</v>
      </c>
      <c r="F13" s="59" t="s">
        <v>248</v>
      </c>
      <c r="H13" s="79" t="s">
        <v>249</v>
      </c>
    </row>
    <row r="14" spans="2:11" x14ac:dyDescent="0.3">
      <c r="B14" s="75" t="s">
        <v>250</v>
      </c>
      <c r="D14" s="60"/>
      <c r="F14" s="57" t="s">
        <v>251</v>
      </c>
      <c r="H14" s="80" t="s">
        <v>252</v>
      </c>
    </row>
    <row r="15" spans="2:11" x14ac:dyDescent="0.3">
      <c r="B15" s="75" t="s">
        <v>253</v>
      </c>
      <c r="D15" s="61"/>
      <c r="F15" s="59" t="s">
        <v>254</v>
      </c>
      <c r="H15" s="80" t="s">
        <v>255</v>
      </c>
    </row>
    <row r="16" spans="2:11" x14ac:dyDescent="0.3">
      <c r="B16" s="75" t="s">
        <v>256</v>
      </c>
      <c r="D16" s="61"/>
      <c r="F16" s="57" t="s">
        <v>257</v>
      </c>
      <c r="H16" s="80" t="s">
        <v>258</v>
      </c>
    </row>
    <row r="17" spans="2:8" ht="27.6" x14ac:dyDescent="0.3">
      <c r="B17" s="75" t="s">
        <v>259</v>
      </c>
      <c r="D17" s="61"/>
      <c r="F17" s="59" t="s">
        <v>260</v>
      </c>
      <c r="H17" s="80" t="s">
        <v>261</v>
      </c>
    </row>
    <row r="18" spans="2:8" x14ac:dyDescent="0.3">
      <c r="B18" s="75" t="s">
        <v>262</v>
      </c>
      <c r="D18" s="61"/>
      <c r="F18" s="57" t="s">
        <v>263</v>
      </c>
      <c r="H18" s="79" t="s">
        <v>264</v>
      </c>
    </row>
    <row r="19" spans="2:8" x14ac:dyDescent="0.3">
      <c r="B19" s="75" t="s">
        <v>265</v>
      </c>
      <c r="D19" s="61"/>
      <c r="F19" s="59" t="s">
        <v>40</v>
      </c>
      <c r="H19" s="80" t="s">
        <v>266</v>
      </c>
    </row>
    <row r="20" spans="2:8" x14ac:dyDescent="0.3">
      <c r="B20" s="75" t="s">
        <v>267</v>
      </c>
      <c r="D20" s="61"/>
      <c r="F20" s="57" t="s">
        <v>65</v>
      </c>
      <c r="H20" s="79" t="s">
        <v>268</v>
      </c>
    </row>
    <row r="21" spans="2:8" x14ac:dyDescent="0.3">
      <c r="B21" s="75" t="s">
        <v>269</v>
      </c>
      <c r="D21" s="61"/>
      <c r="F21" s="59" t="s">
        <v>270</v>
      </c>
      <c r="H21" s="79" t="s">
        <v>271</v>
      </c>
    </row>
    <row r="22" spans="2:8" x14ac:dyDescent="0.3">
      <c r="B22" s="75" t="s">
        <v>272</v>
      </c>
      <c r="D22" s="61"/>
      <c r="F22" s="57" t="s">
        <v>44</v>
      </c>
      <c r="H22" s="79" t="s">
        <v>273</v>
      </c>
    </row>
    <row r="23" spans="2:8" x14ac:dyDescent="0.3">
      <c r="B23" s="75" t="s">
        <v>274</v>
      </c>
      <c r="D23" s="61"/>
      <c r="F23" s="59" t="s">
        <v>275</v>
      </c>
      <c r="H23" s="77" t="s">
        <v>276</v>
      </c>
    </row>
    <row r="24" spans="2:8" x14ac:dyDescent="0.3">
      <c r="B24" s="75" t="s">
        <v>277</v>
      </c>
      <c r="D24" s="61"/>
      <c r="F24" s="57" t="s">
        <v>42</v>
      </c>
      <c r="H24" s="79" t="s">
        <v>278</v>
      </c>
    </row>
    <row r="25" spans="2:8" x14ac:dyDescent="0.3">
      <c r="B25" s="75" t="s">
        <v>279</v>
      </c>
      <c r="D25" s="61"/>
      <c r="F25" s="59" t="s">
        <v>280</v>
      </c>
      <c r="H25" s="81" t="s">
        <v>281</v>
      </c>
    </row>
    <row r="26" spans="2:8" x14ac:dyDescent="0.3">
      <c r="B26" s="75" t="s">
        <v>282</v>
      </c>
      <c r="F26" s="57" t="s">
        <v>283</v>
      </c>
      <c r="H26" s="82" t="s">
        <v>284</v>
      </c>
    </row>
    <row r="27" spans="2:8" x14ac:dyDescent="0.3">
      <c r="B27" s="75" t="s">
        <v>285</v>
      </c>
      <c r="D27" s="61"/>
      <c r="F27" s="59" t="s">
        <v>286</v>
      </c>
      <c r="H27" s="83" t="s">
        <v>287</v>
      </c>
    </row>
    <row r="28" spans="2:8" x14ac:dyDescent="0.3">
      <c r="B28" s="75" t="s">
        <v>288</v>
      </c>
      <c r="D28" s="61"/>
      <c r="F28" s="57" t="s">
        <v>289</v>
      </c>
      <c r="H28" s="82" t="s">
        <v>290</v>
      </c>
    </row>
    <row r="29" spans="2:8" x14ac:dyDescent="0.3">
      <c r="B29" s="75" t="s">
        <v>291</v>
      </c>
      <c r="F29" s="59" t="s">
        <v>292</v>
      </c>
      <c r="H29" s="84" t="s">
        <v>293</v>
      </c>
    </row>
    <row r="30" spans="2:8" x14ac:dyDescent="0.3">
      <c r="B30" s="75" t="s">
        <v>294</v>
      </c>
      <c r="F30" s="57" t="s">
        <v>295</v>
      </c>
      <c r="H30" s="83" t="s">
        <v>296</v>
      </c>
    </row>
    <row r="31" spans="2:8" x14ac:dyDescent="0.3">
      <c r="B31" s="75" t="s">
        <v>297</v>
      </c>
      <c r="F31" s="59" t="s">
        <v>298</v>
      </c>
      <c r="H31" s="83" t="s">
        <v>299</v>
      </c>
    </row>
    <row r="32" spans="2:8" x14ac:dyDescent="0.3">
      <c r="B32" s="75" t="s">
        <v>300</v>
      </c>
      <c r="F32" s="57" t="s">
        <v>301</v>
      </c>
      <c r="H32" s="83" t="s">
        <v>302</v>
      </c>
    </row>
    <row r="33" spans="2:8" x14ac:dyDescent="0.3">
      <c r="B33" s="75" t="s">
        <v>303</v>
      </c>
      <c r="F33" s="59" t="s">
        <v>304</v>
      </c>
      <c r="H33" s="83" t="s">
        <v>305</v>
      </c>
    </row>
    <row r="34" spans="2:8" x14ac:dyDescent="0.3">
      <c r="B34" s="75" t="s">
        <v>306</v>
      </c>
      <c r="F34" s="57" t="s">
        <v>307</v>
      </c>
      <c r="H34" s="83" t="s">
        <v>308</v>
      </c>
    </row>
    <row r="35" spans="2:8" x14ac:dyDescent="0.3">
      <c r="B35" s="75" t="s">
        <v>309</v>
      </c>
      <c r="F35" s="59" t="s">
        <v>310</v>
      </c>
      <c r="H35" s="83" t="s">
        <v>311</v>
      </c>
    </row>
    <row r="36" spans="2:8" x14ac:dyDescent="0.3">
      <c r="B36" s="75" t="s">
        <v>312</v>
      </c>
      <c r="F36" s="57" t="s">
        <v>313</v>
      </c>
      <c r="H36" s="83" t="s">
        <v>314</v>
      </c>
    </row>
    <row r="37" spans="2:8" x14ac:dyDescent="0.3">
      <c r="B37" s="75" t="s">
        <v>315</v>
      </c>
      <c r="F37" s="57" t="s">
        <v>316</v>
      </c>
      <c r="H37" s="83" t="s">
        <v>317</v>
      </c>
    </row>
    <row r="38" spans="2:8" x14ac:dyDescent="0.3">
      <c r="B38" s="75" t="s">
        <v>318</v>
      </c>
      <c r="F38" s="57" t="s">
        <v>32</v>
      </c>
      <c r="H38" s="83" t="s">
        <v>319</v>
      </c>
    </row>
    <row r="39" spans="2:8" x14ac:dyDescent="0.3">
      <c r="B39" s="75" t="s">
        <v>320</v>
      </c>
      <c r="F39" s="57" t="s">
        <v>321</v>
      </c>
      <c r="H39" s="83" t="s">
        <v>322</v>
      </c>
    </row>
    <row r="40" spans="2:8" x14ac:dyDescent="0.3">
      <c r="B40" s="75" t="s">
        <v>323</v>
      </c>
      <c r="H40" s="83" t="s">
        <v>324</v>
      </c>
    </row>
    <row r="41" spans="2:8" x14ac:dyDescent="0.3">
      <c r="B41" s="64"/>
      <c r="D41" s="65"/>
      <c r="H41" s="76" t="s">
        <v>325</v>
      </c>
    </row>
    <row r="42" spans="2:8" x14ac:dyDescent="0.3">
      <c r="B42" s="62"/>
      <c r="H42" s="83" t="s">
        <v>326</v>
      </c>
    </row>
    <row r="43" spans="2:8" x14ac:dyDescent="0.3">
      <c r="H43" s="82" t="s">
        <v>327</v>
      </c>
    </row>
    <row r="44" spans="2:8" x14ac:dyDescent="0.3">
      <c r="B44" s="63"/>
      <c r="H44" s="83" t="s">
        <v>328</v>
      </c>
    </row>
    <row r="45" spans="2:8" x14ac:dyDescent="0.3">
      <c r="H45" s="83" t="s">
        <v>329</v>
      </c>
    </row>
    <row r="46" spans="2:8" x14ac:dyDescent="0.3">
      <c r="H46" s="83" t="s">
        <v>330</v>
      </c>
    </row>
    <row r="47" spans="2:8" x14ac:dyDescent="0.3">
      <c r="B47" s="63"/>
      <c r="H47" s="83" t="s">
        <v>331</v>
      </c>
    </row>
    <row r="48" spans="2:8" x14ac:dyDescent="0.3">
      <c r="H48" s="82" t="s">
        <v>332</v>
      </c>
    </row>
    <row r="49" spans="8:8" x14ac:dyDescent="0.3">
      <c r="H49" s="82" t="s">
        <v>333</v>
      </c>
    </row>
    <row r="50" spans="8:8" x14ac:dyDescent="0.3">
      <c r="H50" s="82" t="s">
        <v>334</v>
      </c>
    </row>
    <row r="51" spans="8:8" x14ac:dyDescent="0.3">
      <c r="H51" s="82" t="s">
        <v>335</v>
      </c>
    </row>
    <row r="52" spans="8:8" x14ac:dyDescent="0.3">
      <c r="H52" s="67" t="s">
        <v>336</v>
      </c>
    </row>
    <row r="53" spans="8:8" x14ac:dyDescent="0.3">
      <c r="H53" s="66" t="s">
        <v>337</v>
      </c>
    </row>
    <row r="54" spans="8:8" x14ac:dyDescent="0.3">
      <c r="H54" s="67" t="s">
        <v>1</v>
      </c>
    </row>
    <row r="55" spans="8:8" ht="15" thickBot="1" x14ac:dyDescent="0.35">
      <c r="H55" s="68" t="s">
        <v>338</v>
      </c>
    </row>
    <row r="56" spans="8:8" ht="15" thickBot="1" x14ac:dyDescent="0.35">
      <c r="H56" s="72" t="s">
        <v>38</v>
      </c>
    </row>
    <row r="57" spans="8:8" ht="15" thickBot="1" x14ac:dyDescent="0.35">
      <c r="H57" s="72"/>
    </row>
    <row r="58" spans="8:8" ht="15" thickBot="1" x14ac:dyDescent="0.35">
      <c r="H58" s="69"/>
    </row>
    <row r="59" spans="8:8" ht="15" thickBot="1" x14ac:dyDescent="0.35">
      <c r="H59" s="69"/>
    </row>
    <row r="60" spans="8:8" ht="15" thickBot="1" x14ac:dyDescent="0.35">
      <c r="H60" s="70"/>
    </row>
    <row r="61" spans="8:8" ht="15" thickBot="1" x14ac:dyDescent="0.35">
      <c r="H61" s="71"/>
    </row>
    <row r="62" spans="8:8" ht="15" thickBot="1" x14ac:dyDescent="0.35">
      <c r="H62" s="69"/>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A6A535-3A0F-4752-BA18-664E351D50B7}">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B4B6DFB2-4FFA-41AE-8822-FC9E084F5CA7}">
  <ds:schemaRefs>
    <ds:schemaRef ds:uri="http://schemas.microsoft.com/sharepoint/v3/contenttype/forms"/>
  </ds:schemaRefs>
</ds:datastoreItem>
</file>

<file path=customXml/itemProps3.xml><?xml version="1.0" encoding="utf-8"?>
<ds:datastoreItem xmlns:ds="http://schemas.openxmlformats.org/officeDocument/2006/customXml" ds:itemID="{3DB443B8-BC5B-4873-BFE3-667F521CB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Oct</vt:lpstr>
      <vt:lpstr>Nov</vt:lpstr>
      <vt:lpstr>Dec</vt:lpstr>
      <vt:lpstr>Jan</vt:lpstr>
      <vt:lpstr>Feb</vt:lpstr>
      <vt:lpstr>Mar</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2025-06-05T05:51:50Z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
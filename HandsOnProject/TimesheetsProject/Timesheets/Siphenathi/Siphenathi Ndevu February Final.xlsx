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Siphenathi/"/>
    </mc:Choice>
  </mc:AlternateContent>
  <xr:revisionPtr revIDLastSave="16" documentId="8_{50CEC55B-FCB4-4651-AB7F-54BA3F94292B}" xr6:coauthVersionLast="47" xr6:coauthVersionMax="47" xr10:uidLastSave="{6AE8C76B-1832-49F3-8C9A-283D3D88E20C}"/>
  <bookViews>
    <workbookView xWindow="-108" yWindow="-108" windowWidth="23256" windowHeight="12456" firstSheet="4" activeTab="4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definedNames>
    <definedName name="Time">Feb!$A$8:$J$113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2" i="5" l="1"/>
  <c r="H111" i="5"/>
  <c r="H110" i="5"/>
  <c r="H108" i="5"/>
  <c r="H109" i="5"/>
  <c r="H107" i="5"/>
  <c r="H106" i="5"/>
  <c r="H105" i="5"/>
  <c r="H104" i="5"/>
  <c r="H102" i="5"/>
  <c r="H101" i="5"/>
  <c r="H100" i="5"/>
  <c r="H99" i="5"/>
  <c r="H98" i="5"/>
  <c r="H96" i="5"/>
  <c r="H95" i="5"/>
  <c r="H94" i="5"/>
  <c r="H93" i="5"/>
  <c r="H91" i="5"/>
  <c r="H90" i="5"/>
  <c r="H89" i="5"/>
  <c r="H88" i="5"/>
  <c r="H87" i="5"/>
  <c r="H79" i="5"/>
  <c r="H83" i="5"/>
  <c r="H82" i="5"/>
  <c r="H71" i="5"/>
  <c r="H70" i="5"/>
  <c r="H81" i="5"/>
  <c r="H80" i="5"/>
  <c r="H78" i="5"/>
  <c r="H76" i="5"/>
  <c r="H75" i="5"/>
  <c r="H74" i="5"/>
  <c r="H73" i="5"/>
  <c r="H69" i="5"/>
  <c r="H67" i="5"/>
  <c r="H66" i="5"/>
  <c r="H65" i="5"/>
  <c r="H64" i="5"/>
  <c r="H63" i="5"/>
  <c r="H61" i="5"/>
  <c r="H60" i="5"/>
  <c r="H59" i="5"/>
  <c r="H58" i="5"/>
  <c r="H57" i="5"/>
  <c r="H56" i="5"/>
  <c r="H62" i="5"/>
  <c r="H53" i="5"/>
  <c r="H52" i="5"/>
  <c r="H51" i="5"/>
  <c r="H50" i="5"/>
  <c r="H49" i="5"/>
  <c r="H48" i="5"/>
  <c r="H46" i="5"/>
  <c r="H45" i="5"/>
  <c r="H44" i="5"/>
  <c r="H43" i="5"/>
  <c r="H47" i="5"/>
  <c r="H42" i="5"/>
  <c r="H41" i="5"/>
  <c r="H40" i="5"/>
  <c r="H38" i="5"/>
  <c r="H37" i="5"/>
  <c r="H36" i="5"/>
  <c r="H35" i="5"/>
  <c r="H33" i="5"/>
  <c r="H32" i="5"/>
  <c r="H31" i="5"/>
  <c r="H30" i="5"/>
  <c r="H28" i="5"/>
  <c r="H23" i="5"/>
  <c r="H24" i="5"/>
  <c r="H25" i="5"/>
  <c r="H26" i="5"/>
  <c r="H27" i="5"/>
  <c r="H29" i="5"/>
  <c r="H21" i="5"/>
  <c r="H22" i="5"/>
  <c r="H10" i="5"/>
  <c r="H11" i="5"/>
  <c r="H12" i="5"/>
  <c r="H13" i="5"/>
  <c r="H14" i="5"/>
  <c r="H15" i="5"/>
  <c r="H16" i="5"/>
  <c r="H17" i="5"/>
  <c r="H18" i="5"/>
  <c r="H19" i="5"/>
  <c r="H20" i="5"/>
  <c r="H39" i="4"/>
  <c r="H15" i="1"/>
  <c r="D14" i="9"/>
  <c r="F17" i="8"/>
  <c r="B6" i="8" s="1"/>
  <c r="F45" i="6"/>
  <c r="F44" i="6"/>
  <c r="F118" i="5"/>
  <c r="F45" i="10"/>
  <c r="H9" i="10" l="1"/>
  <c r="F44" i="10" s="1"/>
  <c r="F41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39" i="6"/>
  <c r="H9" i="5"/>
  <c r="F41" i="4"/>
  <c r="H11" i="4"/>
  <c r="H32" i="3"/>
  <c r="H39" i="3"/>
  <c r="H11" i="1"/>
  <c r="H9" i="6"/>
  <c r="H9" i="3"/>
  <c r="H9" i="1" l="1"/>
  <c r="F43" i="1" s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4" i="5"/>
  <c r="H39" i="5"/>
  <c r="H54" i="5"/>
  <c r="H55" i="5"/>
  <c r="H68" i="5"/>
  <c r="H72" i="5"/>
  <c r="H77" i="5"/>
  <c r="H84" i="5"/>
  <c r="H85" i="5"/>
  <c r="H86" i="5"/>
  <c r="H92" i="5"/>
  <c r="H97" i="5"/>
  <c r="H103" i="5"/>
  <c r="H113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119" i="5" l="1"/>
  <c r="H10" i="6"/>
  <c r="H11" i="6"/>
  <c r="F41" i="6"/>
  <c r="H12" i="6"/>
  <c r="H10" i="3"/>
  <c r="F44" i="3" s="1"/>
  <c r="H11" i="3"/>
  <c r="H12" i="3"/>
  <c r="H13" i="3"/>
  <c r="F115" i="5"/>
  <c r="F41" i="3"/>
  <c r="F40" i="1"/>
  <c r="F46" i="4" l="1"/>
  <c r="F120" i="5"/>
  <c r="F46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<sst xmlns="http://schemas.openxmlformats.org/spreadsheetml/2006/main" count="1095" uniqueCount="284">
  <si>
    <t>Consultant</t>
  </si>
  <si>
    <t>Example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</si>
  <si>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</si>
  <si>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</si>
  <si>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</si>
  <si>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</si>
  <si>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</si>
  <si>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</si>
  <si>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</si>
  <si>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</si>
  <si>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</si>
  <si>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</si>
  <si>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</si>
  <si>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Tuesday</t>
  </si>
  <si>
    <t>Internal Sambe</t>
  </si>
  <si>
    <t>.NET code</t>
  </si>
  <si>
    <t>Billable</t>
  </si>
  <si>
    <t>Detailed Description of task(s) done</t>
  </si>
  <si>
    <t>Wednesday</t>
  </si>
  <si>
    <t>Thursday</t>
  </si>
  <si>
    <t>Friday</t>
  </si>
  <si>
    <t>Saturday</t>
  </si>
  <si>
    <t>Sunday</t>
  </si>
  <si>
    <t>Monday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</si>
  <si>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</si>
  <si>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</si>
  <si>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</si>
  <si>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</si>
  <si>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</si>
  <si>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</si>
  <si>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</si>
  <si>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</si>
  <si>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Public Holiday</t>
  </si>
  <si>
    <t>Non-Billable</t>
  </si>
  <si>
    <t>Day of Reconciliation</t>
  </si>
  <si>
    <t>Christmas</t>
  </si>
  <si>
    <t>Boxing Day</t>
  </si>
  <si>
    <t>Public holiday</t>
  </si>
  <si>
    <t>Siphenathi</t>
  </si>
  <si>
    <t>Graduate</t>
  </si>
  <si>
    <t>Training</t>
  </si>
  <si>
    <t>We had virtual onboarding session and given task to create dreamboard.</t>
  </si>
  <si>
    <t>I worked on my dreamboard.</t>
  </si>
  <si>
    <t>I was finalising my dreambord.</t>
  </si>
  <si>
    <t>Meeting</t>
  </si>
  <si>
    <t>Onboarding session in Midrand and I got to meet the team including Shaila,Bhavesh, Zola,Ravi and Bongani.We were told about Sambe.</t>
  </si>
  <si>
    <t>Presenting</t>
  </si>
  <si>
    <t>We presented our dreamboards as graduates</t>
  </si>
  <si>
    <t>Grauate</t>
  </si>
  <si>
    <t>Final onboarding session with Clement, We received laptops and wrapped it all up with with lunch.</t>
  </si>
  <si>
    <t>Discusion with Clement,Agenda: Confluence,Naming Conventions,Version Control Systems,Documentation in software development</t>
  </si>
  <si>
    <t>Clement introduced us to AZARE Fundamentals and told us to install Git and VS Code</t>
  </si>
  <si>
    <t>Installing</t>
  </si>
  <si>
    <t>Installing Git and VS code</t>
  </si>
  <si>
    <t>Daily High Perfomers Team stand-up with Bongani,we Introduced ourselves as graduates and created Atlassian Account's</t>
  </si>
  <si>
    <t>Other</t>
  </si>
  <si>
    <t>Preparing to meet Clement:High perfomers Daily standup</t>
  </si>
  <si>
    <t>High perfomers Daily standup,Disccused about last weeks work.Also given topics to work with during the day.</t>
  </si>
  <si>
    <t>Research</t>
  </si>
  <si>
    <t>I did research on Git(Playing around it), Learning git commands and github</t>
  </si>
  <si>
    <t>Peer to peer discussion</t>
  </si>
  <si>
    <t>Watching tutorials and reading articles about git. Practicaly worked on git and github</t>
  </si>
  <si>
    <t>Meeting with Bongani,Discussed about what I worked on during the day</t>
  </si>
  <si>
    <t>Checking in and Preparing for the day.</t>
  </si>
  <si>
    <t>Meeting with Clement for High-Perfomers Daily standup.Given topics to work with such as DevOps,Database Management System,NoSQL vs SQL,Version Control systems</t>
  </si>
  <si>
    <t>Research about different control systems</t>
  </si>
  <si>
    <t>Research about DevOps,Database Management System,NoSQL vs SQL,Version Control systems</t>
  </si>
  <si>
    <t>Meeting with Bongani,Discussed about what I worked on during the day and explained some concepts in simpler terms</t>
  </si>
  <si>
    <t>Working on Git and Github (Branching,pull request and other command)</t>
  </si>
  <si>
    <t>Research about Project management and Agile Vs Waterfall</t>
  </si>
  <si>
    <t>Meeting with Bongani,Discussed about what I worked on during the day and explained some concepts in simpler terms.</t>
  </si>
  <si>
    <t>Meeting with Clement for High-Perfomers Daily standup.Given topics to work with such as Scrum vs Kanban,Agile vs waterfall,Introduction to Jira and Project Management</t>
  </si>
  <si>
    <t>Peer meeting</t>
  </si>
  <si>
    <t>Preparing for presentations</t>
  </si>
  <si>
    <t>Research presentations as groups</t>
  </si>
  <si>
    <t xml:space="preserve">Peer Meeting </t>
  </si>
  <si>
    <t>Researching SQL and NoSQL and Documenting it on confluence</t>
  </si>
  <si>
    <t>Daily High Perfomers Team stand-up with Bongani,did presentatin on topics we worked on during the day</t>
  </si>
  <si>
    <t>Meeting with Clement for High-Perfomers Daily standup.Tasked to work on Jira and creat projects.</t>
  </si>
  <si>
    <t>Watching tutorials and reading articles about Jira. Practicaly worked on Jira.</t>
  </si>
  <si>
    <t>Peer meeting,Discussed about Jira and helped each other.</t>
  </si>
  <si>
    <t>Jira Presentation and demonstration as groups.</t>
  </si>
  <si>
    <t>Documenting SQL and NoSQl database management on Confluence.</t>
  </si>
  <si>
    <t>Meeting with Clement for High-Perfomers Daily standup.Gave us task to work on during the day and also showed us how Jira works,How to create and manage a Scrum.</t>
  </si>
  <si>
    <t>I worked on Jira,created a scrum and played around it And Migrated confluence space</t>
  </si>
  <si>
    <t>Installing SQL sever and SSMS</t>
  </si>
  <si>
    <t>I created a repo in github sc_Organization,Created a folder and subfolder and pulled them to my local machine.</t>
  </si>
  <si>
    <t>Daily High Perfomers Team stand-up with Bongani,discussed about topics I  worked on during the day</t>
  </si>
  <si>
    <t>I continued installing SQL server and SSMS and checked if it is working.</t>
  </si>
  <si>
    <t>Meeting with Clement for High-Perfomers Daily standup.Gave us task to work on during the day.</t>
  </si>
  <si>
    <t>Research on CRUD operations</t>
  </si>
  <si>
    <t>Updated my Confluence space</t>
  </si>
  <si>
    <t>Practicaly worked on CRUD operations and modified github repo</t>
  </si>
  <si>
    <t>Daily High Perfomers Team stand-up with Bongani,discussed on topics I worked on during the day and He also explained SQL vs NoSQL</t>
  </si>
  <si>
    <t>Updated my Scrum on Jira</t>
  </si>
  <si>
    <t>Meeting with Clement for High-Perfomers Daily standup.</t>
  </si>
  <si>
    <t>Research ACID properties
Different NoSQL Databases
Transactional databases(data lakes and data warehouses)</t>
  </si>
  <si>
    <t>Daily High Perfomers Team stand-up with Bongani,discussed on topics I worked on during the day.</t>
  </si>
  <si>
    <t>SQL Server Tutorial For Beginners</t>
  </si>
  <si>
    <t>Research on Serialization in general and Deserialization,OLAP vs OLTP and ETL vs ELT</t>
  </si>
  <si>
    <t>Watched SQL Fundamentals tutorial on youtube</t>
  </si>
  <si>
    <t>Daily High Perfomers Team stand-up with Bongani,discussed on topics I worked on during the day .</t>
  </si>
  <si>
    <t>SQL Tutorial For Beginners playlist on youtube and practicaly crating databaseand tables.</t>
  </si>
  <si>
    <t>Documentation</t>
  </si>
  <si>
    <t>Documenting on confluence my progress.</t>
  </si>
  <si>
    <t>Research on Encryption.</t>
  </si>
  <si>
    <t>commited my work on github</t>
  </si>
  <si>
    <t>Daily High Perfomers Team stand-up meeting,discussed on topics I worked on during the day .</t>
  </si>
  <si>
    <t>Creating Jira project for the week</t>
  </si>
  <si>
    <t>Meeting with Clement for High-Perfomers Daily standup.Gave us tasks to work on during the day.</t>
  </si>
  <si>
    <t>Learning Excel Fundamentals</t>
  </si>
  <si>
    <t>Learning VLOOKUP</t>
  </si>
  <si>
    <t>Excel Data Cleaning</t>
  </si>
  <si>
    <t>I documented on Confluence the work I did Monday</t>
  </si>
  <si>
    <t xml:space="preserve">Learning SQL Basics:
↳ SELECT, WHERE, GROUP BY, HAVING
</t>
  </si>
  <si>
    <t>Learning SQL Basics:↳ Joins (INNER, LEFT, RIGHT)
↳ Subqueries &amp; Aggregations</t>
  </si>
  <si>
    <t>Daily High Perfomers Team stand-up meeting with Bongani,discussed on topics I worked on during the day .</t>
  </si>
  <si>
    <t>Updated my sprint and added new tasks</t>
  </si>
  <si>
    <t>Working on Github actions</t>
  </si>
  <si>
    <t>Meeting with the N.I.N.E.S discussed about Github Actions</t>
  </si>
  <si>
    <t>Worked on github actions</t>
  </si>
  <si>
    <t>Started a Excel Coursera course</t>
  </si>
  <si>
    <t>Check in and preparing for the day</t>
  </si>
  <si>
    <t>Continued learning Excela on coursera and practical doing the work and pused the work to github.</t>
  </si>
  <si>
    <t>Coursera Excel Module 3 &amp; 4</t>
  </si>
  <si>
    <t>Interview Training with Shaila and Angela</t>
  </si>
  <si>
    <t>Human Rights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</si>
  <si>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</si>
  <si>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</si>
  <si>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</si>
  <si>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</si>
  <si>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</si>
  <si>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</si>
  <si>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</si>
  <si>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</si>
  <si>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</si>
  <si>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</si>
  <si>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</si>
  <si>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</si>
  <si>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</si>
  <si>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</si>
  <si>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</si>
  <si>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</si>
  <si>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</si>
  <si>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</si>
  <si>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</si>
  <si>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</si>
  <si>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</si>
  <si>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</si>
  <si>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</si>
  <si>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</si>
  <si>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</si>
  <si>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</si>
  <si>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</si>
  <si>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</si>
  <si>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</si>
  <si>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</si>
  <si>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</si>
  <si>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</si>
  <si>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</si>
  <si>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</si>
  <si>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</si>
  <si>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</si>
  <si>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</si>
  <si>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>Angela</t>
  </si>
  <si>
    <t>Assimil8 - AGA</t>
  </si>
  <si>
    <t>Headhunting</t>
  </si>
  <si>
    <t>Architecture</t>
  </si>
  <si>
    <t>Aubrey</t>
  </si>
  <si>
    <t>Base 3</t>
  </si>
  <si>
    <t>Interviews</t>
  </si>
  <si>
    <t>Avinash</t>
  </si>
  <si>
    <t>C. Steinweg</t>
  </si>
  <si>
    <t>Fixed Assets</t>
  </si>
  <si>
    <t>Configuration</t>
  </si>
  <si>
    <t>Beejal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</si>
  <si>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</si>
  <si>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</si>
  <si>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</si>
  <si>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</si>
  <si>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</si>
  <si>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</si>
  <si>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</si>
  <si>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</si>
  <si>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</si>
  <si>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</si>
  <si>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</si>
  <si>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</si>
  <si>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</si>
  <si>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</si>
  <si>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</si>
  <si>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</si>
  <si>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Charles</t>
  </si>
  <si>
    <t>No</t>
  </si>
  <si>
    <t>Conekt – Winning Business</t>
  </si>
  <si>
    <t>Design</t>
  </si>
  <si>
    <t>Clement</t>
  </si>
  <si>
    <t>Conekt – Internal Meeting</t>
  </si>
  <si>
    <t xml:space="preserve">David </t>
  </si>
  <si>
    <t>Dentons</t>
  </si>
  <si>
    <t>Events</t>
  </si>
  <si>
    <t>Diederik</t>
  </si>
  <si>
    <t>Discovery</t>
  </si>
  <si>
    <t>ETL</t>
  </si>
  <si>
    <t>Diptendubala</t>
  </si>
  <si>
    <t>Discovery Information Governance and Security</t>
  </si>
  <si>
    <t>FrontEnd</t>
  </si>
  <si>
    <t>Edmond</t>
  </si>
  <si>
    <t>Discovery Bank</t>
  </si>
  <si>
    <t>Elijah</t>
  </si>
  <si>
    <t>Discovery CSI</t>
  </si>
  <si>
    <t>Elrida</t>
  </si>
  <si>
    <t>Discovery Health</t>
  </si>
  <si>
    <t>Lunch</t>
  </si>
  <si>
    <t>Engelina</t>
  </si>
  <si>
    <t>Discovery People</t>
  </si>
  <si>
    <t>Eugene</t>
  </si>
  <si>
    <t xml:space="preserve">Discovery Skills </t>
  </si>
  <si>
    <t>Fayruz</t>
  </si>
  <si>
    <t>Discovery Vitality</t>
  </si>
  <si>
    <t>Project Management</t>
  </si>
  <si>
    <t>Hamerl</t>
  </si>
  <si>
    <t>Gyro</t>
  </si>
  <si>
    <t>Ian</t>
  </si>
  <si>
    <t>Healthforce</t>
  </si>
  <si>
    <t>Sales call</t>
  </si>
  <si>
    <t>Joseph</t>
  </si>
  <si>
    <t>KFC Digistics</t>
  </si>
  <si>
    <t>SharePoint</t>
  </si>
  <si>
    <t>Juan</t>
  </si>
  <si>
    <t>Medi-Charge</t>
  </si>
  <si>
    <t>Testing</t>
  </si>
  <si>
    <t>Kanelo</t>
  </si>
  <si>
    <t>MICA Build</t>
  </si>
  <si>
    <t>Travel</t>
  </si>
  <si>
    <t>Kavish</t>
  </si>
  <si>
    <t>Michelin</t>
  </si>
  <si>
    <t>Troubleshooting</t>
  </si>
  <si>
    <t>Lazarus</t>
  </si>
  <si>
    <t>Mistro Foods</t>
  </si>
  <si>
    <t>Waiting on client</t>
  </si>
  <si>
    <t>Lehlohonolo</t>
  </si>
  <si>
    <t>OK Furnitures</t>
  </si>
  <si>
    <t>Website content</t>
  </si>
  <si>
    <t>Lerato</t>
  </si>
  <si>
    <t>Olympic Paints</t>
  </si>
  <si>
    <t>Website and collateral</t>
  </si>
  <si>
    <t>Matsheliso</t>
  </si>
  <si>
    <t>RMB CM Data Warehouse support</t>
  </si>
  <si>
    <t>Annual Leave</t>
  </si>
  <si>
    <t xml:space="preserve">Ndivhudzannyi </t>
  </si>
  <si>
    <t>RMB CORE NRTI</t>
  </si>
  <si>
    <t>Sick leave</t>
  </si>
  <si>
    <t>Paulina</t>
  </si>
  <si>
    <t>RMB Liesha</t>
  </si>
  <si>
    <t>Study Leave</t>
  </si>
  <si>
    <t>Pranav</t>
  </si>
  <si>
    <t>RMB Tumelo</t>
  </si>
  <si>
    <t>Family Responsibility Leave</t>
  </si>
  <si>
    <t>Ravi</t>
  </si>
  <si>
    <t>Sachar Mobile</t>
  </si>
  <si>
    <t>Birthday leave</t>
  </si>
  <si>
    <t>Rivashan</t>
  </si>
  <si>
    <t>SBV</t>
  </si>
  <si>
    <t>Sahur</t>
  </si>
  <si>
    <t>Sibanya</t>
  </si>
  <si>
    <t>Sick Leave - half day</t>
  </si>
  <si>
    <t>Sanele</t>
  </si>
  <si>
    <t>Transport Holdings</t>
  </si>
  <si>
    <t>Sarah</t>
  </si>
  <si>
    <t>Shaila</t>
  </si>
  <si>
    <t>Shaylin</t>
  </si>
  <si>
    <t>Siemon</t>
  </si>
  <si>
    <t>Sonika</t>
  </si>
  <si>
    <t>Tatenda</t>
  </si>
  <si>
    <t>Timothy</t>
  </si>
  <si>
    <t>Tutu</t>
  </si>
  <si>
    <t>Vincent</t>
  </si>
  <si>
    <t>Yazeed</t>
  </si>
  <si>
    <t xml:space="preserve">Yugeshin </t>
  </si>
  <si>
    <t>Zola</t>
  </si>
  <si>
    <t>Karen</t>
  </si>
  <si>
    <t>Nagendra</t>
  </si>
  <si>
    <t>Tyson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</si>
</sst>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8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8" xfId="0" applyNumberFormat="1" applyFont="1" applyBorder="1" applyAlignment="1">
      <alignment horizontal="right" wrapText="1"/>
    </xf>
    <xf numFmtId="49" fontId="8" fillId="0" borderId="9" xfId="0" applyNumberFormat="1" applyFont="1" applyBorder="1" applyAlignment="1">
      <alignment vertical="top"/>
    </xf>
    <xf numFmtId="0" fontId="1" fillId="0" borderId="10" xfId="0" applyFont="1" applyBorder="1"/>
    <xf numFmtId="164" fontId="3" fillId="0" borderId="9" xfId="0" applyNumberFormat="1" applyFont="1" applyBorder="1" applyAlignment="1">
      <alignment horizontal="right" wrapText="1"/>
    </xf>
    <xf numFmtId="0" fontId="1" fillId="0" borderId="11" xfId="0" applyFont="1" applyBorder="1"/>
    <xf numFmtId="0" fontId="9" fillId="0" borderId="12" xfId="0" applyFont="1" applyBorder="1" applyAlignment="1">
      <alignment horizontal="left"/>
    </xf>
    <xf numFmtId="0" fontId="3" fillId="0" borderId="13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4" xfId="0" applyFont="1" applyFill="1" applyBorder="1"/>
    <xf numFmtId="0" fontId="13" fillId="4" borderId="15" xfId="0" applyFont="1" applyFill="1" applyBorder="1"/>
    <xf numFmtId="0" fontId="13" fillId="4" borderId="15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5" xfId="0" applyFont="1" applyFill="1" applyBorder="1" applyAlignment="1">
      <alignment wrapText="1"/>
    </xf>
    <xf numFmtId="0" fontId="13" fillId="4" borderId="16" xfId="0" applyFont="1" applyFill="1" applyBorder="1" applyAlignment="1">
      <alignment horizontal="center" wrapText="1"/>
    </xf>
    <xf numFmtId="164" fontId="3" fillId="0" borderId="20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7" xfId="0" applyFont="1" applyFill="1" applyBorder="1"/>
    <xf numFmtId="0" fontId="11" fillId="0" borderId="17" xfId="0" applyFont="1" applyBorder="1"/>
    <xf numFmtId="0" fontId="15" fillId="9" borderId="18" xfId="0" applyFont="1" applyFill="1" applyBorder="1"/>
    <xf numFmtId="0" fontId="15" fillId="8" borderId="19" xfId="0" applyFont="1" applyFill="1" applyBorder="1"/>
    <xf numFmtId="0" fontId="15" fillId="8" borderId="0" xfId="0" applyFont="1" applyFill="1"/>
    <xf numFmtId="0" fontId="15" fillId="9" borderId="19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9" xfId="0" applyFont="1" applyBorder="1"/>
    <xf numFmtId="0" fontId="15" fillId="0" borderId="28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10" borderId="7" xfId="0" applyFont="1" applyFill="1" applyBorder="1" applyAlignment="1">
      <alignment horizontal="left"/>
    </xf>
    <xf numFmtId="0" fontId="15" fillId="9" borderId="40" xfId="0" applyFont="1" applyFill="1" applyBorder="1" applyAlignment="1">
      <alignment wrapText="1"/>
    </xf>
    <xf numFmtId="0" fontId="15" fillId="0" borderId="40" xfId="0" applyFont="1" applyBorder="1" applyAlignment="1">
      <alignment wrapText="1"/>
    </xf>
    <xf numFmtId="0" fontId="15" fillId="8" borderId="40" xfId="0" applyFont="1" applyFill="1" applyBorder="1" applyAlignment="1">
      <alignment wrapText="1"/>
    </xf>
    <xf numFmtId="0" fontId="15" fillId="0" borderId="40" xfId="0" applyFont="1" applyBorder="1" applyAlignment="1">
      <alignment horizontal="left"/>
    </xf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8" xfId="0" applyFont="1" applyFill="1" applyBorder="1" applyAlignment="1">
      <alignment horizontal="left" wrapText="1" readingOrder="1"/>
    </xf>
    <xf numFmtId="0" fontId="17" fillId="0" borderId="38" xfId="0" applyFont="1" applyBorder="1" applyAlignment="1">
      <alignment horizontal="left"/>
    </xf>
    <xf numFmtId="0" fontId="17" fillId="0" borderId="38" xfId="0" applyFont="1" applyBorder="1"/>
    <xf numFmtId="0" fontId="18" fillId="0" borderId="38" xfId="0" applyFont="1" applyBorder="1" applyAlignment="1">
      <alignment vertical="center"/>
    </xf>
    <xf numFmtId="0" fontId="17" fillId="0" borderId="41" xfId="0" applyFont="1" applyBorder="1"/>
    <xf numFmtId="0" fontId="17" fillId="0" borderId="41" xfId="0" applyFont="1" applyBorder="1" applyAlignment="1">
      <alignment horizontal="left"/>
    </xf>
    <xf numFmtId="0" fontId="17" fillId="0" borderId="28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8" xfId="0" applyFont="1" applyBorder="1"/>
    <xf numFmtId="0" fontId="11" fillId="12" borderId="17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10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4" xfId="0" applyNumberFormat="1" applyFont="1" applyFill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17" fontId="4" fillId="0" borderId="25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42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/>
    <xf numFmtId="0" fontId="4" fillId="0" borderId="31" xfId="0" applyFont="1" applyBorder="1"/>
    <xf numFmtId="0" fontId="4" fillId="0" borderId="32" xfId="0" applyFont="1" applyBorder="1"/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20" fontId="4" fillId="0" borderId="0" xfId="0" applyNumberFormat="1" applyFont="1"/>
    <xf numFmtId="0" fontId="4" fillId="0" borderId="38" xfId="0" applyFont="1" applyBorder="1" applyAlignment="1">
      <alignment wrapText="1"/>
    </xf>
    <xf numFmtId="0" fontId="4" fillId="0" borderId="21" xfId="0" applyFont="1" applyBorder="1"/>
    <xf numFmtId="165" fontId="4" fillId="0" borderId="22" xfId="0" applyNumberFormat="1" applyFont="1" applyBorder="1"/>
    <xf numFmtId="0" fontId="4" fillId="0" borderId="28" xfId="0" applyFont="1" applyBorder="1" applyAlignment="1">
      <alignment wrapText="1"/>
    </xf>
    <xf numFmtId="0" fontId="4" fillId="3" borderId="26" xfId="0" applyFont="1" applyFill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12" fillId="5" borderId="34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10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3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3" fillId="4" borderId="4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62" totalsRowShown="0" headerRowDxfId="102" dataDxfId="101">
  <autoFilter ref="H2:H62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zoomScale="75" zoomScaleNormal="75" workbookViewId="0">
      <selection activeCell="C5" sqref="C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86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45566</v>
      </c>
      <c r="B9" s="22" t="s">
        <v>13</v>
      </c>
      <c r="C9" s="27" t="s">
        <v>14</v>
      </c>
      <c r="D9" s="27" t="s">
        <v>1</v>
      </c>
      <c r="E9" s="27" t="s">
        <v>15</v>
      </c>
      <c r="F9" s="27" t="s">
        <v>16</v>
      </c>
      <c r="G9" s="28" t="s">
        <v>17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45567</v>
      </c>
      <c r="B10" s="22" t="s">
        <v>18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45568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45569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45570</v>
      </c>
      <c r="B13" s="31" t="s">
        <v>21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45571</v>
      </c>
      <c r="B14" s="31" t="s">
        <v>22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45572</v>
      </c>
      <c r="B15" s="22" t="s">
        <v>23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45573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45574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45575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45576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45577</v>
      </c>
      <c r="B20" s="31" t="s">
        <v>21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45578</v>
      </c>
      <c r="B21" s="31" t="s">
        <v>22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45579</v>
      </c>
      <c r="B22" s="22" t="s">
        <v>23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45580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45581</v>
      </c>
      <c r="B24" s="22" t="s">
        <v>18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45582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45583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45584</v>
      </c>
      <c r="B27" s="31" t="s">
        <v>21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45585</v>
      </c>
      <c r="B28" s="31" t="s">
        <v>22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45586</v>
      </c>
      <c r="B29" s="22" t="s">
        <v>23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45587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45588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45589</v>
      </c>
      <c r="B32" s="22" t="s">
        <v>19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45590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45591</v>
      </c>
      <c r="B34" s="31" t="s">
        <v>21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45592</v>
      </c>
      <c r="B35" s="31" t="s">
        <v>22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45593</v>
      </c>
      <c r="B36" s="22" t="s">
        <v>23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45594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45595</v>
      </c>
      <c r="B38" s="22" t="s">
        <v>18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x14ac:dyDescent="0.2">
      <c r="A39" s="22">
        <v>45596</v>
      </c>
      <c r="B39" s="22" t="s">
        <v>19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5" customHeight="1" thickBot="1" x14ac:dyDescent="0.25">
      <c r="A40" s="46"/>
      <c r="B40" s="46"/>
      <c r="G40" s="40"/>
      <c r="H40" s="73"/>
      <c r="I40" s="74"/>
      <c r="J40" s="74"/>
    </row>
    <row r="41" spans="1:10" ht="13.95" customHeight="1" x14ac:dyDescent="0.25">
      <c r="A41" s="4"/>
      <c r="B41" s="4"/>
      <c r="C41" s="5"/>
      <c r="D41" s="6"/>
      <c r="E41" s="7" t="s">
        <v>24</v>
      </c>
      <c r="F41" s="8">
        <f>F42*8</f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25</v>
      </c>
      <c r="F42" s="11">
        <v>23</v>
      </c>
      <c r="H42" s="40"/>
    </row>
    <row r="43" spans="1:10" ht="13.95" customHeight="1" thickBot="1" x14ac:dyDescent="0.3">
      <c r="A43" s="117" t="s">
        <v>26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28</v>
      </c>
      <c r="B45" s="118"/>
      <c r="C45" s="118"/>
      <c r="D45" s="16"/>
      <c r="E45" s="17" t="s">
        <v>29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30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31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Key!$K$3:$K$4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Key!$H$3:$H$62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E9" sqref="E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45597</v>
      </c>
      <c r="B9" s="22" t="s">
        <v>20</v>
      </c>
      <c r="C9" s="27" t="s">
        <v>14</v>
      </c>
      <c r="D9" s="27" t="s">
        <v>1</v>
      </c>
      <c r="E9" s="27" t="s">
        <v>15</v>
      </c>
      <c r="F9" s="27" t="s">
        <v>16</v>
      </c>
      <c r="G9" s="28" t="s">
        <v>17</v>
      </c>
      <c r="H9" s="29">
        <f t="shared" ref="H9:H38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45598</v>
      </c>
      <c r="B10" s="31" t="s">
        <v>21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31">
        <v>45599</v>
      </c>
      <c r="B11" s="31" t="s">
        <v>22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45600</v>
      </c>
      <c r="B12" s="22" t="s">
        <v>23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45601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45602</v>
      </c>
      <c r="B14" s="22" t="s">
        <v>18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45603</v>
      </c>
      <c r="B15" s="22" t="s">
        <v>19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45604</v>
      </c>
      <c r="B16" s="22" t="s">
        <v>20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45605</v>
      </c>
      <c r="B17" s="31" t="s">
        <v>21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45606</v>
      </c>
      <c r="B18" s="31" t="s">
        <v>22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45607</v>
      </c>
      <c r="B19" s="22" t="s">
        <v>23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45608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45609</v>
      </c>
      <c r="B21" s="22" t="s">
        <v>18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45610</v>
      </c>
      <c r="B22" s="22" t="s">
        <v>19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45611</v>
      </c>
      <c r="B23" s="22" t="s">
        <v>20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45612</v>
      </c>
      <c r="B24" s="31" t="s">
        <v>21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45613</v>
      </c>
      <c r="B25" s="31" t="s">
        <v>22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45614</v>
      </c>
      <c r="B26" s="22" t="s">
        <v>23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45615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45616</v>
      </c>
      <c r="B28" s="22" t="s">
        <v>18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45617</v>
      </c>
      <c r="B29" s="22" t="s">
        <v>19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45618</v>
      </c>
      <c r="B30" s="22" t="s">
        <v>20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45619</v>
      </c>
      <c r="B31" s="31" t="s">
        <v>21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45620</v>
      </c>
      <c r="B32" s="31" t="s">
        <v>22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45621</v>
      </c>
      <c r="B33" s="22" t="s">
        <v>23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45622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45623</v>
      </c>
      <c r="B35" s="22" t="s">
        <v>18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45624</v>
      </c>
      <c r="B36" s="22" t="s">
        <v>19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45625</v>
      </c>
      <c r="B37" s="22" t="s">
        <v>20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45626</v>
      </c>
      <c r="B38" s="31" t="s">
        <v>21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24</v>
      </c>
      <c r="F40" s="8">
        <f>F41*8</f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25</v>
      </c>
      <c r="F41" s="11">
        <v>21</v>
      </c>
      <c r="H41" s="40"/>
    </row>
    <row r="42" spans="1:10" ht="13.95" customHeight="1" thickBot="1" x14ac:dyDescent="0.3">
      <c r="A42" s="117" t="s">
        <v>26</v>
      </c>
      <c r="B42" s="117"/>
      <c r="C42" s="117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27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8" t="s">
        <v>28</v>
      </c>
      <c r="B44" s="118"/>
      <c r="C44" s="118"/>
      <c r="D44" s="16"/>
      <c r="E44" s="17" t="s">
        <v>29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30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31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Key!$K$3:$K$4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Key!$H$3:$H$62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E10" sqref="E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45627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45628</v>
      </c>
      <c r="B10" s="22" t="s">
        <v>23</v>
      </c>
      <c r="C10" s="27" t="s">
        <v>14</v>
      </c>
      <c r="D10" s="27" t="s">
        <v>1</v>
      </c>
      <c r="E10" s="27" t="s">
        <v>15</v>
      </c>
      <c r="F10" s="27" t="s">
        <v>16</v>
      </c>
      <c r="G10" s="28" t="s">
        <v>17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45629</v>
      </c>
      <c r="B11" s="22" t="s">
        <v>13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45630</v>
      </c>
      <c r="B12" s="22" t="s">
        <v>18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45631</v>
      </c>
      <c r="B13" s="22" t="s">
        <v>19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45632</v>
      </c>
      <c r="B14" s="22" t="s">
        <v>20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45633</v>
      </c>
      <c r="B15" s="31" t="s">
        <v>21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45634</v>
      </c>
      <c r="B16" s="31" t="s">
        <v>22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45635</v>
      </c>
      <c r="B17" s="22" t="s">
        <v>23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45636</v>
      </c>
      <c r="B18" s="22" t="s">
        <v>13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45637</v>
      </c>
      <c r="B19" s="22" t="s">
        <v>18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45638</v>
      </c>
      <c r="B20" s="22" t="s">
        <v>19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45639</v>
      </c>
      <c r="B21" s="22" t="s">
        <v>20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45640</v>
      </c>
      <c r="B22" s="31" t="s">
        <v>21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45641</v>
      </c>
      <c r="B23" s="31" t="s">
        <v>22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45642</v>
      </c>
      <c r="B24" s="47" t="s">
        <v>23</v>
      </c>
      <c r="C24" s="48" t="s">
        <v>14</v>
      </c>
      <c r="D24" s="48"/>
      <c r="E24" s="48" t="s">
        <v>32</v>
      </c>
      <c r="F24" s="48" t="s">
        <v>33</v>
      </c>
      <c r="G24" s="49" t="s">
        <v>34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45643</v>
      </c>
      <c r="B25" s="22" t="s">
        <v>13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45644</v>
      </c>
      <c r="B26" s="22" t="s">
        <v>18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45645</v>
      </c>
      <c r="B27" s="22" t="s">
        <v>19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45646</v>
      </c>
      <c r="B28" s="22" t="s">
        <v>20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45647</v>
      </c>
      <c r="B29" s="31" t="s">
        <v>21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45648</v>
      </c>
      <c r="B30" s="31" t="s">
        <v>22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45649</v>
      </c>
      <c r="B31" s="22" t="s">
        <v>23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45650</v>
      </c>
      <c r="B32" s="22" t="s">
        <v>13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47">
        <v>45651</v>
      </c>
      <c r="B33" s="47" t="s">
        <v>18</v>
      </c>
      <c r="C33" s="48" t="s">
        <v>14</v>
      </c>
      <c r="D33" s="48"/>
      <c r="E33" s="48" t="s">
        <v>32</v>
      </c>
      <c r="F33" s="48" t="s">
        <v>33</v>
      </c>
      <c r="G33" s="49" t="s">
        <v>35</v>
      </c>
      <c r="H33" s="50">
        <f t="shared" si="0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45652</v>
      </c>
      <c r="B34" s="47" t="s">
        <v>19</v>
      </c>
      <c r="C34" s="48" t="s">
        <v>14</v>
      </c>
      <c r="D34" s="48"/>
      <c r="E34" s="48" t="s">
        <v>32</v>
      </c>
      <c r="F34" s="48" t="s">
        <v>33</v>
      </c>
      <c r="G34" s="49" t="s">
        <v>36</v>
      </c>
      <c r="H34" s="50">
        <f t="shared" si="0"/>
        <v>0.33333333333333331</v>
      </c>
      <c r="I34" s="51">
        <v>0.33333333333333331</v>
      </c>
      <c r="J34" s="51">
        <v>0.66666666666666663</v>
      </c>
    </row>
    <row r="35" spans="1:10" x14ac:dyDescent="0.2">
      <c r="A35" s="22">
        <v>45653</v>
      </c>
      <c r="B35" s="22" t="s">
        <v>20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45654</v>
      </c>
      <c r="B36" s="31" t="s">
        <v>21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45655</v>
      </c>
      <c r="B37" s="31" t="s">
        <v>22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x14ac:dyDescent="0.2">
      <c r="A38" s="22">
        <v>45656</v>
      </c>
      <c r="B38" s="22" t="s">
        <v>23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25">
      <c r="A39" s="22">
        <v>45657</v>
      </c>
      <c r="B39" s="22" t="s">
        <v>13</v>
      </c>
      <c r="C39" s="27"/>
      <c r="D39" s="27"/>
      <c r="E39" s="27"/>
      <c r="F39" s="27"/>
      <c r="G39" s="28"/>
      <c r="H39" s="29">
        <f t="shared" ref="H39" si="3">J39-I39</f>
        <v>0</v>
      </c>
      <c r="I39" s="30"/>
      <c r="J39" s="30"/>
    </row>
    <row r="40" spans="1:10" ht="13.95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24</v>
      </c>
      <c r="F41" s="8">
        <f>F42*8</f>
        <v>152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25</v>
      </c>
      <c r="F42" s="11">
        <v>19</v>
      </c>
      <c r="H42" s="40"/>
    </row>
    <row r="43" spans="1:10" ht="13.95" customHeight="1" thickBot="1" x14ac:dyDescent="0.3">
      <c r="A43" s="117" t="s">
        <v>26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28</v>
      </c>
      <c r="B45" s="118"/>
      <c r="C45" s="118"/>
      <c r="D45" s="16"/>
      <c r="E45" s="17" t="s">
        <v>29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30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31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Key!$H$3:$H$62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E10" sqref="E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45658</v>
      </c>
      <c r="B9" s="47" t="s">
        <v>18</v>
      </c>
      <c r="C9" s="48" t="s">
        <v>14</v>
      </c>
      <c r="D9" s="48" t="s">
        <v>1</v>
      </c>
      <c r="E9" s="48" t="s">
        <v>32</v>
      </c>
      <c r="F9" s="48" t="s">
        <v>33</v>
      </c>
      <c r="G9" s="49" t="s">
        <v>37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45659</v>
      </c>
      <c r="B10" s="22" t="s">
        <v>19</v>
      </c>
      <c r="C10" s="27" t="s">
        <v>14</v>
      </c>
      <c r="D10" s="27" t="s">
        <v>1</v>
      </c>
      <c r="E10" s="27" t="s">
        <v>15</v>
      </c>
      <c r="F10" s="27" t="s">
        <v>16</v>
      </c>
      <c r="G10" s="28" t="s">
        <v>17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45660</v>
      </c>
      <c r="B11" s="22" t="s">
        <v>20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45661</v>
      </c>
      <c r="B12" s="31" t="s">
        <v>21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45662</v>
      </c>
      <c r="B13" s="31" t="s">
        <v>22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45663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45664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45665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45666</v>
      </c>
      <c r="B17" s="22" t="s">
        <v>19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45667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45668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45669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45670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45671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45672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45673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45674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45675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45676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45677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45678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45679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45680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45681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45682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45683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45684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45685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45686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45687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45688</v>
      </c>
      <c r="B39" s="22" t="s">
        <v>20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24</v>
      </c>
      <c r="F41" s="8">
        <f>F42*8</f>
        <v>176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25</v>
      </c>
      <c r="F42" s="11">
        <v>22</v>
      </c>
      <c r="H42" s="40"/>
    </row>
    <row r="43" spans="1:10" ht="13.95" customHeight="1" thickBot="1" x14ac:dyDescent="0.3">
      <c r="A43" s="117" t="s">
        <v>26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28</v>
      </c>
      <c r="B45" s="118"/>
      <c r="C45" s="118"/>
      <c r="D45" s="16"/>
      <c r="E45" s="17" t="s">
        <v>29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30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31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59DFADC5-E3B8-482B-925E-D0C90DB0047C}">
          <x14:formula1>
            <xm:f>Key!$H$3:$H$62</xm:f>
          </x14:formula1>
          <xm:sqref>B5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123"/>
  <sheetViews>
    <sheetView tabSelected="1" zoomScale="75" zoomScaleNormal="75" workbookViewId="0">
      <selection activeCell="A8" sqref="A8:J11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38</v>
      </c>
      <c r="C5" s="37"/>
      <c r="H5" s="40"/>
    </row>
    <row r="6" spans="1:10" x14ac:dyDescent="0.2">
      <c r="A6" s="37" t="s">
        <v>2</v>
      </c>
      <c r="B6" s="86">
        <f>F118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45689</v>
      </c>
      <c r="B9" s="31" t="s">
        <v>21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31">
        <v>45690</v>
      </c>
      <c r="B10" s="31" t="s">
        <v>22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ht="37.799999999999997" x14ac:dyDescent="0.2">
      <c r="A11" s="22">
        <v>45691</v>
      </c>
      <c r="B11" s="22" t="s">
        <v>23</v>
      </c>
      <c r="C11" s="27" t="s">
        <v>14</v>
      </c>
      <c r="D11" s="27" t="s">
        <v>39</v>
      </c>
      <c r="E11" s="27" t="s">
        <v>40</v>
      </c>
      <c r="F11" s="27" t="s">
        <v>33</v>
      </c>
      <c r="G11" s="28" t="s">
        <v>41</v>
      </c>
      <c r="H11" s="29">
        <f t="shared" ref="H11:H113" si="0">J11-I11</f>
        <v>6.25E-2</v>
      </c>
      <c r="I11" s="30">
        <v>0.375</v>
      </c>
      <c r="J11" s="30">
        <v>0.4375</v>
      </c>
    </row>
    <row r="12" spans="1:10" x14ac:dyDescent="0.2">
      <c r="A12" s="22">
        <v>45691</v>
      </c>
      <c r="B12" s="22" t="s">
        <v>23</v>
      </c>
      <c r="C12" s="27" t="s">
        <v>14</v>
      </c>
      <c r="D12" s="27" t="s">
        <v>39</v>
      </c>
      <c r="E12" s="27" t="s">
        <v>40</v>
      </c>
      <c r="F12" s="27" t="s">
        <v>33</v>
      </c>
      <c r="G12" s="28" t="s">
        <v>42</v>
      </c>
      <c r="H12" s="29">
        <f t="shared" si="0"/>
        <v>0.22916666666666663</v>
      </c>
      <c r="I12" s="30">
        <v>0.4375</v>
      </c>
      <c r="J12" s="30">
        <v>0.66666666666666663</v>
      </c>
    </row>
    <row r="13" spans="1:10" x14ac:dyDescent="0.2">
      <c r="A13" s="22">
        <v>45692</v>
      </c>
      <c r="B13" s="22" t="s">
        <v>13</v>
      </c>
      <c r="C13" s="27" t="s">
        <v>14</v>
      </c>
      <c r="D13" s="27" t="s">
        <v>39</v>
      </c>
      <c r="E13" s="27" t="s">
        <v>40</v>
      </c>
      <c r="F13" s="27" t="s">
        <v>33</v>
      </c>
      <c r="G13" s="28" t="s">
        <v>43</v>
      </c>
      <c r="H13" s="29">
        <f t="shared" si="0"/>
        <v>0.33333333333333331</v>
      </c>
      <c r="I13" s="30">
        <v>0.33333333333333331</v>
      </c>
      <c r="J13" s="30">
        <v>0.66666666666666663</v>
      </c>
    </row>
    <row r="14" spans="1:10" ht="50.4" x14ac:dyDescent="0.2">
      <c r="A14" s="22">
        <v>45693</v>
      </c>
      <c r="B14" s="22" t="s">
        <v>18</v>
      </c>
      <c r="C14" s="27" t="s">
        <v>14</v>
      </c>
      <c r="D14" s="27" t="s">
        <v>39</v>
      </c>
      <c r="E14" s="27" t="s">
        <v>44</v>
      </c>
      <c r="F14" s="27" t="s">
        <v>33</v>
      </c>
      <c r="G14" s="28" t="s">
        <v>45</v>
      </c>
      <c r="H14" s="29">
        <f t="shared" si="0"/>
        <v>0.16666666666666669</v>
      </c>
      <c r="I14" s="30">
        <v>0.33333333333333331</v>
      </c>
      <c r="J14" s="30">
        <v>0.5</v>
      </c>
    </row>
    <row r="15" spans="1:10" ht="25.2" x14ac:dyDescent="0.2">
      <c r="A15" s="22">
        <v>45693</v>
      </c>
      <c r="B15" s="22" t="s">
        <v>18</v>
      </c>
      <c r="C15" s="27" t="s">
        <v>14</v>
      </c>
      <c r="D15" s="27" t="s">
        <v>39</v>
      </c>
      <c r="E15" s="27" t="s">
        <v>46</v>
      </c>
      <c r="F15" s="27" t="s">
        <v>33</v>
      </c>
      <c r="G15" s="28" t="s">
        <v>47</v>
      </c>
      <c r="H15" s="29">
        <f t="shared" si="0"/>
        <v>0.16666666666666674</v>
      </c>
      <c r="I15" s="30">
        <v>0.54166666666666663</v>
      </c>
      <c r="J15" s="30">
        <v>0.70833333333333337</v>
      </c>
    </row>
    <row r="16" spans="1:10" ht="37.799999999999997" x14ac:dyDescent="0.2">
      <c r="A16" s="22">
        <v>45694</v>
      </c>
      <c r="B16" s="22" t="s">
        <v>19</v>
      </c>
      <c r="C16" s="27" t="s">
        <v>14</v>
      </c>
      <c r="D16" s="27" t="s">
        <v>48</v>
      </c>
      <c r="E16" s="27" t="s">
        <v>44</v>
      </c>
      <c r="F16" s="27" t="s">
        <v>33</v>
      </c>
      <c r="G16" s="28" t="s">
        <v>49</v>
      </c>
      <c r="H16" s="29">
        <f t="shared" si="0"/>
        <v>0.33333333333333331</v>
      </c>
      <c r="I16" s="30">
        <v>0.33333333333333331</v>
      </c>
      <c r="J16" s="30">
        <v>0.66666666666666663</v>
      </c>
    </row>
    <row r="17" spans="1:10" ht="63" x14ac:dyDescent="0.2">
      <c r="A17" s="22">
        <v>45695</v>
      </c>
      <c r="B17" s="22" t="s">
        <v>20</v>
      </c>
      <c r="C17" s="27" t="s">
        <v>14</v>
      </c>
      <c r="D17" s="27" t="s">
        <v>48</v>
      </c>
      <c r="E17" s="27" t="s">
        <v>44</v>
      </c>
      <c r="F17" s="27" t="s">
        <v>33</v>
      </c>
      <c r="G17" s="28" t="s">
        <v>50</v>
      </c>
      <c r="H17" s="29">
        <f t="shared" si="0"/>
        <v>0.16666666666666669</v>
      </c>
      <c r="I17" s="30">
        <v>0.33333333333333331</v>
      </c>
      <c r="J17" s="30">
        <v>0.5</v>
      </c>
    </row>
    <row r="18" spans="1:10" ht="37.799999999999997" x14ac:dyDescent="0.2">
      <c r="A18" s="22">
        <v>45695</v>
      </c>
      <c r="B18" s="22" t="s">
        <v>20</v>
      </c>
      <c r="C18" s="27" t="s">
        <v>14</v>
      </c>
      <c r="D18" s="27" t="s">
        <v>48</v>
      </c>
      <c r="E18" s="27" t="s">
        <v>44</v>
      </c>
      <c r="F18" s="27" t="s">
        <v>33</v>
      </c>
      <c r="G18" s="28" t="s">
        <v>51</v>
      </c>
      <c r="H18" s="29">
        <f t="shared" si="0"/>
        <v>4.1666666666666741E-2</v>
      </c>
      <c r="I18" s="30">
        <v>0.54166666666666663</v>
      </c>
      <c r="J18" s="30">
        <v>0.58333333333333337</v>
      </c>
    </row>
    <row r="19" spans="1:10" x14ac:dyDescent="0.2">
      <c r="A19" s="22">
        <v>45695</v>
      </c>
      <c r="B19" s="22" t="s">
        <v>20</v>
      </c>
      <c r="C19" s="27" t="s">
        <v>14</v>
      </c>
      <c r="D19" s="27" t="s">
        <v>48</v>
      </c>
      <c r="E19" s="27" t="s">
        <v>52</v>
      </c>
      <c r="F19" s="27" t="s">
        <v>33</v>
      </c>
      <c r="G19" s="28" t="s">
        <v>53</v>
      </c>
      <c r="H19" s="29">
        <f t="shared" si="0"/>
        <v>2.0833333333333259E-2</v>
      </c>
      <c r="I19" s="30">
        <v>0.58333333333333337</v>
      </c>
      <c r="J19" s="30">
        <v>0.60416666666666663</v>
      </c>
    </row>
    <row r="20" spans="1:10" ht="50.4" x14ac:dyDescent="0.2">
      <c r="A20" s="22">
        <v>45695</v>
      </c>
      <c r="B20" s="22" t="s">
        <v>20</v>
      </c>
      <c r="C20" s="27" t="s">
        <v>14</v>
      </c>
      <c r="D20" s="27" t="s">
        <v>48</v>
      </c>
      <c r="E20" s="27" t="s">
        <v>44</v>
      </c>
      <c r="F20" s="27" t="s">
        <v>33</v>
      </c>
      <c r="G20" s="28" t="s">
        <v>54</v>
      </c>
      <c r="H20" s="29">
        <f t="shared" si="0"/>
        <v>0.10416666666666674</v>
      </c>
      <c r="I20" s="30">
        <v>0.60416666666666663</v>
      </c>
      <c r="J20" s="30">
        <v>0.70833333333333337</v>
      </c>
    </row>
    <row r="21" spans="1:10" x14ac:dyDescent="0.2">
      <c r="A21" s="31">
        <v>45696</v>
      </c>
      <c r="B21" s="31" t="s">
        <v>21</v>
      </c>
      <c r="C21" s="32"/>
      <c r="D21" s="32"/>
      <c r="E21" s="32"/>
      <c r="F21" s="32"/>
      <c r="G21" s="33"/>
      <c r="H21" s="34">
        <f t="shared" si="0"/>
        <v>0</v>
      </c>
      <c r="I21" s="35"/>
      <c r="J21" s="35"/>
    </row>
    <row r="22" spans="1:10" x14ac:dyDescent="0.2">
      <c r="A22" s="31">
        <v>45697</v>
      </c>
      <c r="B22" s="31" t="s">
        <v>22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ht="25.2" x14ac:dyDescent="0.2">
      <c r="A23" s="22">
        <v>45698</v>
      </c>
      <c r="B23" s="22" t="s">
        <v>23</v>
      </c>
      <c r="C23" s="27" t="s">
        <v>14</v>
      </c>
      <c r="D23" s="27" t="s">
        <v>39</v>
      </c>
      <c r="E23" s="27" t="s">
        <v>55</v>
      </c>
      <c r="F23" s="27" t="s">
        <v>33</v>
      </c>
      <c r="G23" s="28" t="s">
        <v>56</v>
      </c>
      <c r="H23" s="29">
        <f t="shared" si="0"/>
        <v>2.083333333333337E-2</v>
      </c>
      <c r="I23" s="30">
        <v>0.33333333333333331</v>
      </c>
      <c r="J23" s="30">
        <v>0.35416666666666669</v>
      </c>
    </row>
    <row r="24" spans="1:10" ht="50.4" x14ac:dyDescent="0.2">
      <c r="A24" s="22">
        <v>45698</v>
      </c>
      <c r="B24" s="22" t="s">
        <v>23</v>
      </c>
      <c r="C24" s="27" t="s">
        <v>14</v>
      </c>
      <c r="D24" s="27" t="s">
        <v>39</v>
      </c>
      <c r="E24" s="27" t="s">
        <v>44</v>
      </c>
      <c r="F24" s="27" t="s">
        <v>33</v>
      </c>
      <c r="G24" s="28" t="s">
        <v>57</v>
      </c>
      <c r="H24" s="29">
        <f t="shared" si="0"/>
        <v>2.0833333333333315E-2</v>
      </c>
      <c r="I24" s="30">
        <v>0.35416666666666669</v>
      </c>
      <c r="J24" s="30">
        <v>0.375</v>
      </c>
    </row>
    <row r="25" spans="1:10" ht="37.799999999999997" x14ac:dyDescent="0.2">
      <c r="A25" s="22">
        <v>45698</v>
      </c>
      <c r="B25" s="22" t="s">
        <v>23</v>
      </c>
      <c r="C25" s="27" t="s">
        <v>14</v>
      </c>
      <c r="D25" s="27" t="s">
        <v>39</v>
      </c>
      <c r="E25" s="27" t="s">
        <v>58</v>
      </c>
      <c r="F25" s="27" t="s">
        <v>33</v>
      </c>
      <c r="G25" s="28" t="s">
        <v>59</v>
      </c>
      <c r="H25" s="29">
        <f t="shared" si="0"/>
        <v>8.3333333333333315E-2</v>
      </c>
      <c r="I25" s="30">
        <v>0.375</v>
      </c>
      <c r="J25" s="30">
        <v>0.45833333333333331</v>
      </c>
    </row>
    <row r="26" spans="1:10" x14ac:dyDescent="0.2">
      <c r="A26" s="22">
        <v>45698</v>
      </c>
      <c r="B26" s="22" t="s">
        <v>23</v>
      </c>
      <c r="C26" s="27" t="s">
        <v>14</v>
      </c>
      <c r="D26" s="27" t="s">
        <v>39</v>
      </c>
      <c r="E26" s="27" t="s">
        <v>44</v>
      </c>
      <c r="F26" s="27" t="s">
        <v>33</v>
      </c>
      <c r="G26" s="28" t="s">
        <v>60</v>
      </c>
      <c r="H26" s="29">
        <f t="shared" si="0"/>
        <v>4.1666666666666685E-2</v>
      </c>
      <c r="I26" s="30">
        <v>0.45833333333333331</v>
      </c>
      <c r="J26" s="30">
        <v>0.5</v>
      </c>
    </row>
    <row r="27" spans="1:10" ht="37.799999999999997" x14ac:dyDescent="0.2">
      <c r="A27" s="22">
        <v>45698</v>
      </c>
      <c r="B27" s="22" t="s">
        <v>23</v>
      </c>
      <c r="C27" s="27" t="s">
        <v>14</v>
      </c>
      <c r="D27" s="27" t="s">
        <v>39</v>
      </c>
      <c r="E27" s="27" t="s">
        <v>58</v>
      </c>
      <c r="F27" s="27" t="s">
        <v>33</v>
      </c>
      <c r="G27" s="28" t="s">
        <v>61</v>
      </c>
      <c r="H27" s="29">
        <f t="shared" si="0"/>
        <v>0.125</v>
      </c>
      <c r="I27" s="30">
        <v>0.54166666666666663</v>
      </c>
      <c r="J27" s="30">
        <v>0.66666666666666663</v>
      </c>
    </row>
    <row r="28" spans="1:10" ht="37.799999999999997" x14ac:dyDescent="0.2">
      <c r="A28" s="22">
        <v>45698</v>
      </c>
      <c r="B28" s="22" t="s">
        <v>23</v>
      </c>
      <c r="C28" s="27" t="s">
        <v>14</v>
      </c>
      <c r="D28" s="27" t="s">
        <v>39</v>
      </c>
      <c r="E28" s="27" t="s">
        <v>44</v>
      </c>
      <c r="F28" s="27" t="s">
        <v>33</v>
      </c>
      <c r="G28" s="28" t="s">
        <v>62</v>
      </c>
      <c r="H28" s="29">
        <f t="shared" si="0"/>
        <v>9.722222222222221E-2</v>
      </c>
      <c r="I28" s="30">
        <v>0.66666666666666663</v>
      </c>
      <c r="J28" s="30">
        <v>0.76388888888888884</v>
      </c>
    </row>
    <row r="29" spans="1:10" ht="25.2" x14ac:dyDescent="0.2">
      <c r="A29" s="22">
        <v>45699</v>
      </c>
      <c r="B29" s="22" t="s">
        <v>13</v>
      </c>
      <c r="C29" s="27" t="s">
        <v>14</v>
      </c>
      <c r="D29" s="27" t="s">
        <v>39</v>
      </c>
      <c r="E29" s="27" t="s">
        <v>55</v>
      </c>
      <c r="F29" s="27" t="s">
        <v>33</v>
      </c>
      <c r="G29" s="28" t="s">
        <v>63</v>
      </c>
      <c r="H29" s="29">
        <f t="shared" si="0"/>
        <v>2.083333333333337E-2</v>
      </c>
      <c r="I29" s="30">
        <v>0.33333333333333331</v>
      </c>
      <c r="J29" s="30">
        <v>0.35416666666666669</v>
      </c>
    </row>
    <row r="30" spans="1:10" ht="75.599999999999994" x14ac:dyDescent="0.2">
      <c r="A30" s="22">
        <v>45699</v>
      </c>
      <c r="B30" s="22" t="s">
        <v>13</v>
      </c>
      <c r="C30" s="27" t="s">
        <v>14</v>
      </c>
      <c r="D30" s="27" t="s">
        <v>39</v>
      </c>
      <c r="E30" s="27" t="s">
        <v>44</v>
      </c>
      <c r="F30" s="27" t="s">
        <v>33</v>
      </c>
      <c r="G30" s="28" t="s">
        <v>64</v>
      </c>
      <c r="H30" s="29">
        <f t="shared" si="0"/>
        <v>0.10416666666666669</v>
      </c>
      <c r="I30" s="30">
        <v>0.33333333333333331</v>
      </c>
      <c r="J30" s="30">
        <v>0.4375</v>
      </c>
    </row>
    <row r="31" spans="1:10" ht="25.2" x14ac:dyDescent="0.2">
      <c r="A31" s="22">
        <v>45699</v>
      </c>
      <c r="B31" s="22" t="s">
        <v>13</v>
      </c>
      <c r="C31" s="27" t="s">
        <v>14</v>
      </c>
      <c r="D31" s="27" t="s">
        <v>39</v>
      </c>
      <c r="E31" s="27" t="s">
        <v>58</v>
      </c>
      <c r="F31" s="27" t="s">
        <v>33</v>
      </c>
      <c r="G31" s="28" t="s">
        <v>65</v>
      </c>
      <c r="H31" s="29">
        <f t="shared" si="0"/>
        <v>6.25E-2</v>
      </c>
      <c r="I31" s="30">
        <v>0.4375</v>
      </c>
      <c r="J31" s="30">
        <v>0.5</v>
      </c>
    </row>
    <row r="32" spans="1:10" ht="37.799999999999997" x14ac:dyDescent="0.2">
      <c r="A32" s="22">
        <v>45699</v>
      </c>
      <c r="B32" s="22" t="s">
        <v>13</v>
      </c>
      <c r="C32" s="27" t="s">
        <v>14</v>
      </c>
      <c r="D32" s="27" t="s">
        <v>39</v>
      </c>
      <c r="E32" s="27" t="s">
        <v>58</v>
      </c>
      <c r="F32" s="27" t="s">
        <v>33</v>
      </c>
      <c r="G32" s="28" t="s">
        <v>66</v>
      </c>
      <c r="H32" s="29">
        <f t="shared" si="0"/>
        <v>0.125</v>
      </c>
      <c r="I32" s="30">
        <v>0.54166666666666663</v>
      </c>
      <c r="J32" s="30">
        <v>0.66666666666666663</v>
      </c>
    </row>
    <row r="33" spans="1:10" ht="50.4" x14ac:dyDescent="0.2">
      <c r="A33" s="22">
        <v>45699</v>
      </c>
      <c r="B33" s="22" t="s">
        <v>13</v>
      </c>
      <c r="C33" s="27" t="s">
        <v>14</v>
      </c>
      <c r="D33" s="27" t="s">
        <v>39</v>
      </c>
      <c r="E33" s="27" t="s">
        <v>44</v>
      </c>
      <c r="F33" s="27" t="s">
        <v>33</v>
      </c>
      <c r="G33" s="28" t="s">
        <v>67</v>
      </c>
      <c r="H33" s="29">
        <f t="shared" si="0"/>
        <v>9.027777777777779E-2</v>
      </c>
      <c r="I33" s="30">
        <v>0.66666666666666663</v>
      </c>
      <c r="J33" s="30">
        <v>0.75694444444444442</v>
      </c>
    </row>
    <row r="34" spans="1:10" ht="25.2" x14ac:dyDescent="0.2">
      <c r="A34" s="22">
        <v>45700</v>
      </c>
      <c r="B34" s="22" t="s">
        <v>18</v>
      </c>
      <c r="C34" s="27" t="s">
        <v>14</v>
      </c>
      <c r="D34" s="27" t="s">
        <v>39</v>
      </c>
      <c r="E34" s="27" t="s">
        <v>55</v>
      </c>
      <c r="F34" s="27" t="s">
        <v>33</v>
      </c>
      <c r="G34" s="28" t="s">
        <v>56</v>
      </c>
      <c r="H34" s="29">
        <f t="shared" si="0"/>
        <v>2.083333333333337E-2</v>
      </c>
      <c r="I34" s="30">
        <v>0.33333333333333331</v>
      </c>
      <c r="J34" s="30">
        <v>0.35416666666666669</v>
      </c>
    </row>
    <row r="35" spans="1:10" ht="50.4" x14ac:dyDescent="0.2">
      <c r="A35" s="22">
        <v>45700</v>
      </c>
      <c r="B35" s="22" t="s">
        <v>18</v>
      </c>
      <c r="C35" s="27" t="s">
        <v>14</v>
      </c>
      <c r="D35" s="27" t="s">
        <v>39</v>
      </c>
      <c r="E35" s="27" t="s">
        <v>44</v>
      </c>
      <c r="F35" s="27" t="s">
        <v>33</v>
      </c>
      <c r="G35" s="28" t="s">
        <v>57</v>
      </c>
      <c r="H35" s="29">
        <f t="shared" si="0"/>
        <v>0.10416666666666663</v>
      </c>
      <c r="I35" s="30">
        <v>0.35416666666666669</v>
      </c>
      <c r="J35" s="30">
        <v>0.45833333333333331</v>
      </c>
    </row>
    <row r="36" spans="1:10" ht="37.799999999999997" x14ac:dyDescent="0.2">
      <c r="A36" s="22">
        <v>45700</v>
      </c>
      <c r="B36" s="22" t="s">
        <v>18</v>
      </c>
      <c r="C36" s="27" t="s">
        <v>14</v>
      </c>
      <c r="D36" s="27" t="s">
        <v>39</v>
      </c>
      <c r="E36" s="27" t="s">
        <v>58</v>
      </c>
      <c r="F36" s="27" t="s">
        <v>33</v>
      </c>
      <c r="G36" s="28" t="s">
        <v>68</v>
      </c>
      <c r="H36" s="29">
        <f t="shared" si="0"/>
        <v>4.1666666666666685E-2</v>
      </c>
      <c r="I36" s="30">
        <v>0.45833333333333331</v>
      </c>
      <c r="J36" s="30">
        <v>0.5</v>
      </c>
    </row>
    <row r="37" spans="1:10" ht="25.2" x14ac:dyDescent="0.2">
      <c r="A37" s="22">
        <v>45700</v>
      </c>
      <c r="B37" s="22" t="s">
        <v>18</v>
      </c>
      <c r="C37" s="27" t="s">
        <v>14</v>
      </c>
      <c r="D37" s="27" t="s">
        <v>39</v>
      </c>
      <c r="E37" s="27" t="s">
        <v>58</v>
      </c>
      <c r="F37" s="27" t="s">
        <v>33</v>
      </c>
      <c r="G37" s="28" t="s">
        <v>69</v>
      </c>
      <c r="H37" s="29">
        <f t="shared" si="0"/>
        <v>0.125</v>
      </c>
      <c r="I37" s="30">
        <v>0.54166666666666663</v>
      </c>
      <c r="J37" s="30">
        <v>0.66666666666666663</v>
      </c>
    </row>
    <row r="38" spans="1:10" ht="50.4" x14ac:dyDescent="0.2">
      <c r="A38" s="22">
        <v>45700</v>
      </c>
      <c r="B38" s="22" t="s">
        <v>18</v>
      </c>
      <c r="C38" s="27" t="s">
        <v>14</v>
      </c>
      <c r="D38" s="27" t="s">
        <v>39</v>
      </c>
      <c r="E38" s="27" t="s">
        <v>44</v>
      </c>
      <c r="F38" s="27" t="s">
        <v>33</v>
      </c>
      <c r="G38" s="28" t="s">
        <v>70</v>
      </c>
      <c r="H38" s="29">
        <f t="shared" si="0"/>
        <v>9.5833333333333326E-2</v>
      </c>
      <c r="I38" s="30">
        <v>0.66666666666666663</v>
      </c>
      <c r="J38" s="30">
        <v>0.76249999999999996</v>
      </c>
    </row>
    <row r="39" spans="1:10" ht="25.2" x14ac:dyDescent="0.2">
      <c r="A39" s="22">
        <v>45701</v>
      </c>
      <c r="B39" s="22" t="s">
        <v>19</v>
      </c>
      <c r="C39" s="27" t="s">
        <v>14</v>
      </c>
      <c r="D39" s="27" t="s">
        <v>39</v>
      </c>
      <c r="E39" s="27" t="s">
        <v>55</v>
      </c>
      <c r="F39" s="27" t="s">
        <v>33</v>
      </c>
      <c r="G39" s="28" t="s">
        <v>56</v>
      </c>
      <c r="H39" s="29">
        <f t="shared" si="0"/>
        <v>2.083333333333337E-2</v>
      </c>
      <c r="I39" s="30">
        <v>0.33333333333333331</v>
      </c>
      <c r="J39" s="30">
        <v>0.35416666666666669</v>
      </c>
    </row>
    <row r="40" spans="1:10" ht="75.599999999999994" x14ac:dyDescent="0.2">
      <c r="A40" s="22">
        <v>45701</v>
      </c>
      <c r="B40" s="22" t="s">
        <v>19</v>
      </c>
      <c r="C40" s="27" t="s">
        <v>14</v>
      </c>
      <c r="D40" s="27" t="s">
        <v>39</v>
      </c>
      <c r="E40" s="27" t="s">
        <v>44</v>
      </c>
      <c r="F40" s="27" t="s">
        <v>33</v>
      </c>
      <c r="G40" s="28" t="s">
        <v>71</v>
      </c>
      <c r="H40" s="29">
        <f t="shared" si="0"/>
        <v>2.0833333333333315E-2</v>
      </c>
      <c r="I40" s="30">
        <v>0.35416666666666669</v>
      </c>
      <c r="J40" s="30">
        <v>0.375</v>
      </c>
    </row>
    <row r="41" spans="1:10" x14ac:dyDescent="0.2">
      <c r="A41" s="22">
        <v>45701</v>
      </c>
      <c r="B41" s="22" t="s">
        <v>19</v>
      </c>
      <c r="C41" s="27" t="s">
        <v>14</v>
      </c>
      <c r="D41" s="27" t="s">
        <v>39</v>
      </c>
      <c r="E41" s="27" t="s">
        <v>44</v>
      </c>
      <c r="F41" s="27" t="s">
        <v>33</v>
      </c>
      <c r="G41" s="28" t="s">
        <v>72</v>
      </c>
      <c r="H41" s="29">
        <f t="shared" si="0"/>
        <v>4.1666666666666685E-2</v>
      </c>
      <c r="I41" s="30">
        <v>0.375</v>
      </c>
      <c r="J41" s="30">
        <v>0.41666666666666669</v>
      </c>
    </row>
    <row r="42" spans="1:10" x14ac:dyDescent="0.2">
      <c r="A42" s="22">
        <v>45701</v>
      </c>
      <c r="B42" s="22" t="s">
        <v>19</v>
      </c>
      <c r="C42" s="27" t="s">
        <v>14</v>
      </c>
      <c r="D42" s="27" t="s">
        <v>39</v>
      </c>
      <c r="E42" s="27" t="s">
        <v>55</v>
      </c>
      <c r="F42" s="27" t="s">
        <v>33</v>
      </c>
      <c r="G42" s="28" t="s">
        <v>73</v>
      </c>
      <c r="H42" s="29">
        <f t="shared" si="0"/>
        <v>4.166666666666663E-2</v>
      </c>
      <c r="I42" s="30">
        <v>0.41666666666666669</v>
      </c>
      <c r="J42" s="30">
        <v>0.45833333333333331</v>
      </c>
    </row>
    <row r="43" spans="1:10" x14ac:dyDescent="0.2">
      <c r="A43" s="22">
        <v>45701</v>
      </c>
      <c r="B43" s="22" t="s">
        <v>19</v>
      </c>
      <c r="C43" s="27" t="s">
        <v>14</v>
      </c>
      <c r="D43" s="27" t="s">
        <v>39</v>
      </c>
      <c r="E43" s="27" t="s">
        <v>46</v>
      </c>
      <c r="F43" s="27" t="s">
        <v>33</v>
      </c>
      <c r="G43" s="28" t="s">
        <v>74</v>
      </c>
      <c r="H43" s="29">
        <f t="shared" si="0"/>
        <v>0.10833333333333334</v>
      </c>
      <c r="I43" s="74">
        <v>0.45833333333333331</v>
      </c>
      <c r="J43" s="30">
        <v>0.56666666666666665</v>
      </c>
    </row>
    <row r="44" spans="1:10" x14ac:dyDescent="0.2">
      <c r="A44" s="22">
        <v>45701</v>
      </c>
      <c r="B44" s="22" t="s">
        <v>19</v>
      </c>
      <c r="C44" s="27" t="s">
        <v>14</v>
      </c>
      <c r="D44" s="27" t="s">
        <v>39</v>
      </c>
      <c r="E44" s="27" t="s">
        <v>44</v>
      </c>
      <c r="F44" s="27" t="s">
        <v>33</v>
      </c>
      <c r="G44" s="28" t="s">
        <v>75</v>
      </c>
      <c r="H44" s="29">
        <f t="shared" si="0"/>
        <v>5.8333333333333348E-2</v>
      </c>
      <c r="I44" s="74">
        <v>0.56666666666666665</v>
      </c>
      <c r="J44" s="30">
        <v>0.625</v>
      </c>
    </row>
    <row r="45" spans="1:10" ht="25.2" x14ac:dyDescent="0.2">
      <c r="A45" s="22">
        <v>45701</v>
      </c>
      <c r="B45" s="22" t="s">
        <v>19</v>
      </c>
      <c r="C45" s="27" t="s">
        <v>14</v>
      </c>
      <c r="D45" s="27" t="s">
        <v>39</v>
      </c>
      <c r="E45" s="27" t="s">
        <v>58</v>
      </c>
      <c r="F45" s="27" t="s">
        <v>33</v>
      </c>
      <c r="G45" s="115" t="s">
        <v>76</v>
      </c>
      <c r="H45" s="29">
        <f t="shared" si="0"/>
        <v>8.3333333333333259E-2</v>
      </c>
      <c r="I45" s="74">
        <v>0.58333333333333337</v>
      </c>
      <c r="J45" s="30">
        <v>0.66666666666666663</v>
      </c>
    </row>
    <row r="46" spans="1:10" ht="37.799999999999997" x14ac:dyDescent="0.2">
      <c r="A46" s="22">
        <v>45701</v>
      </c>
      <c r="B46" s="22" t="s">
        <v>19</v>
      </c>
      <c r="C46" s="27" t="s">
        <v>14</v>
      </c>
      <c r="D46" s="27" t="s">
        <v>39</v>
      </c>
      <c r="E46" s="27" t="s">
        <v>44</v>
      </c>
      <c r="F46" s="113" t="s">
        <v>33</v>
      </c>
      <c r="G46" s="112" t="s">
        <v>77</v>
      </c>
      <c r="H46" s="114">
        <f t="shared" si="0"/>
        <v>4.1666666666666741E-2</v>
      </c>
      <c r="I46" s="74">
        <v>0.66666666666666663</v>
      </c>
      <c r="J46" s="30">
        <v>0.70833333333333337</v>
      </c>
    </row>
    <row r="47" spans="1:10" ht="25.2" x14ac:dyDescent="0.2">
      <c r="A47" s="22">
        <v>45702</v>
      </c>
      <c r="B47" s="22" t="s">
        <v>20</v>
      </c>
      <c r="C47" s="27" t="s">
        <v>14</v>
      </c>
      <c r="D47" s="27" t="s">
        <v>39</v>
      </c>
      <c r="E47" s="27" t="s">
        <v>55</v>
      </c>
      <c r="F47" s="113" t="s">
        <v>33</v>
      </c>
      <c r="G47" s="112" t="s">
        <v>56</v>
      </c>
      <c r="H47" s="114">
        <f t="shared" si="0"/>
        <v>2.083333333333337E-2</v>
      </c>
      <c r="I47" s="111">
        <v>0.33333333333333331</v>
      </c>
      <c r="J47" s="30">
        <v>0.35416666666666669</v>
      </c>
    </row>
    <row r="48" spans="1:10" ht="37.799999999999997" x14ac:dyDescent="0.2">
      <c r="A48" s="22">
        <v>45702</v>
      </c>
      <c r="B48" s="22" t="s">
        <v>20</v>
      </c>
      <c r="C48" s="27" t="s">
        <v>14</v>
      </c>
      <c r="D48" s="27" t="s">
        <v>39</v>
      </c>
      <c r="E48" s="27" t="s">
        <v>44</v>
      </c>
      <c r="F48" s="113" t="s">
        <v>33</v>
      </c>
      <c r="G48" s="112" t="s">
        <v>78</v>
      </c>
      <c r="H48" s="114">
        <f t="shared" si="0"/>
        <v>4.166666666666663E-2</v>
      </c>
      <c r="I48" s="111">
        <v>0.35416666666666669</v>
      </c>
      <c r="J48" s="30">
        <v>0.39583333333333331</v>
      </c>
    </row>
    <row r="49" spans="1:10" ht="37.799999999999997" x14ac:dyDescent="0.2">
      <c r="A49" s="22">
        <v>45702</v>
      </c>
      <c r="B49" s="22" t="s">
        <v>20</v>
      </c>
      <c r="C49" s="27" t="s">
        <v>14</v>
      </c>
      <c r="D49" s="27" t="s">
        <v>39</v>
      </c>
      <c r="E49" s="27" t="s">
        <v>58</v>
      </c>
      <c r="F49" s="113" t="s">
        <v>33</v>
      </c>
      <c r="G49" s="112" t="s">
        <v>79</v>
      </c>
      <c r="H49" s="114">
        <f t="shared" si="0"/>
        <v>4.1666666666666685E-2</v>
      </c>
      <c r="I49" s="111">
        <v>0.39583333333333331</v>
      </c>
      <c r="J49" s="30">
        <v>0.4375</v>
      </c>
    </row>
    <row r="50" spans="1:10" ht="25.2" x14ac:dyDescent="0.2">
      <c r="A50" s="22">
        <v>45702</v>
      </c>
      <c r="B50" s="22" t="s">
        <v>20</v>
      </c>
      <c r="C50" s="27" t="s">
        <v>14</v>
      </c>
      <c r="D50" s="27" t="s">
        <v>39</v>
      </c>
      <c r="E50" s="27" t="s">
        <v>44</v>
      </c>
      <c r="F50" s="113" t="s">
        <v>33</v>
      </c>
      <c r="G50" s="112" t="s">
        <v>80</v>
      </c>
      <c r="H50" s="114">
        <f t="shared" si="0"/>
        <v>2.0833333333333315E-2</v>
      </c>
      <c r="I50" s="111">
        <v>0.4375</v>
      </c>
      <c r="J50" s="30">
        <v>0.45833333333333331</v>
      </c>
    </row>
    <row r="51" spans="1:10" ht="25.2" x14ac:dyDescent="0.2">
      <c r="A51" s="22">
        <v>45702</v>
      </c>
      <c r="B51" s="22" t="s">
        <v>20</v>
      </c>
      <c r="C51" s="27" t="s">
        <v>14</v>
      </c>
      <c r="D51" s="27" t="s">
        <v>39</v>
      </c>
      <c r="E51" s="27" t="s">
        <v>46</v>
      </c>
      <c r="F51" s="113" t="s">
        <v>33</v>
      </c>
      <c r="G51" s="112" t="s">
        <v>81</v>
      </c>
      <c r="H51" s="114">
        <f t="shared" si="0"/>
        <v>4.1666666666666685E-2</v>
      </c>
      <c r="I51" s="111">
        <v>0.45833333333333331</v>
      </c>
      <c r="J51" s="30">
        <v>0.5</v>
      </c>
    </row>
    <row r="52" spans="1:10" ht="37.799999999999997" x14ac:dyDescent="0.2">
      <c r="A52" s="22">
        <v>45702</v>
      </c>
      <c r="B52" s="22" t="s">
        <v>20</v>
      </c>
      <c r="C52" s="27" t="s">
        <v>14</v>
      </c>
      <c r="D52" s="27" t="s">
        <v>39</v>
      </c>
      <c r="E52" s="27" t="s">
        <v>58</v>
      </c>
      <c r="F52" s="113" t="s">
        <v>33</v>
      </c>
      <c r="G52" s="112" t="s">
        <v>82</v>
      </c>
      <c r="H52" s="114">
        <f t="shared" si="0"/>
        <v>0.125</v>
      </c>
      <c r="I52" s="111">
        <v>0.54166666666666663</v>
      </c>
      <c r="J52" s="30">
        <v>0.66666666666666663</v>
      </c>
    </row>
    <row r="53" spans="1:10" ht="37.799999999999997" x14ac:dyDescent="0.2">
      <c r="A53" s="22">
        <v>45702</v>
      </c>
      <c r="B53" s="22" t="s">
        <v>20</v>
      </c>
      <c r="C53" s="27" t="s">
        <v>14</v>
      </c>
      <c r="D53" s="27" t="s">
        <v>39</v>
      </c>
      <c r="E53" s="27" t="s">
        <v>44</v>
      </c>
      <c r="F53" s="113" t="s">
        <v>33</v>
      </c>
      <c r="G53" s="112" t="s">
        <v>77</v>
      </c>
      <c r="H53" s="114">
        <f t="shared" si="0"/>
        <v>7.2222222222222299E-2</v>
      </c>
      <c r="I53" s="111">
        <v>0.66666666666666663</v>
      </c>
      <c r="J53" s="30">
        <v>0.73888888888888893</v>
      </c>
    </row>
    <row r="54" spans="1:10" x14ac:dyDescent="0.2">
      <c r="A54" s="31">
        <v>45703</v>
      </c>
      <c r="B54" s="31" t="s">
        <v>21</v>
      </c>
      <c r="C54" s="32"/>
      <c r="D54" s="32"/>
      <c r="E54" s="32"/>
      <c r="F54" s="32"/>
      <c r="G54" s="116"/>
      <c r="H54" s="34">
        <f t="shared" si="0"/>
        <v>0</v>
      </c>
      <c r="I54" s="35"/>
      <c r="J54" s="35"/>
    </row>
    <row r="55" spans="1:10" x14ac:dyDescent="0.2">
      <c r="A55" s="31">
        <v>45704</v>
      </c>
      <c r="B55" s="31" t="s">
        <v>22</v>
      </c>
      <c r="C55" s="32"/>
      <c r="D55" s="32"/>
      <c r="E55" s="32"/>
      <c r="F55" s="32"/>
      <c r="G55" s="33"/>
      <c r="H55" s="34">
        <f t="shared" si="0"/>
        <v>0</v>
      </c>
      <c r="I55" s="35"/>
      <c r="J55" s="35"/>
    </row>
    <row r="56" spans="1:10" ht="25.2" x14ac:dyDescent="0.2">
      <c r="A56" s="22">
        <v>45705</v>
      </c>
      <c r="B56" s="22" t="s">
        <v>23</v>
      </c>
      <c r="C56" s="27" t="s">
        <v>14</v>
      </c>
      <c r="D56" s="27" t="s">
        <v>39</v>
      </c>
      <c r="E56" s="27" t="s">
        <v>58</v>
      </c>
      <c r="F56" s="27" t="s">
        <v>33</v>
      </c>
      <c r="G56" s="28" t="s">
        <v>63</v>
      </c>
      <c r="H56" s="29">
        <f t="shared" si="0"/>
        <v>2.083333333333337E-2</v>
      </c>
      <c r="I56" s="30">
        <v>0.33333333333333331</v>
      </c>
      <c r="J56" s="30">
        <v>0.35416666666666669</v>
      </c>
    </row>
    <row r="57" spans="1:10" ht="63" x14ac:dyDescent="0.2">
      <c r="A57" s="22">
        <v>45705</v>
      </c>
      <c r="B57" s="22" t="s">
        <v>23</v>
      </c>
      <c r="C57" s="27" t="s">
        <v>14</v>
      </c>
      <c r="D57" s="27" t="s">
        <v>39</v>
      </c>
      <c r="E57" s="27" t="s">
        <v>44</v>
      </c>
      <c r="F57" s="27" t="s">
        <v>33</v>
      </c>
      <c r="G57" s="28" t="s">
        <v>83</v>
      </c>
      <c r="H57" s="29">
        <f t="shared" si="0"/>
        <v>0.1388888888888889</v>
      </c>
      <c r="I57" s="30">
        <v>0.35416666666666669</v>
      </c>
      <c r="J57" s="30">
        <v>0.49305555555555558</v>
      </c>
    </row>
    <row r="58" spans="1:10" ht="37.799999999999997" x14ac:dyDescent="0.2">
      <c r="A58" s="22">
        <v>45705</v>
      </c>
      <c r="B58" s="22" t="s">
        <v>23</v>
      </c>
      <c r="C58" s="27" t="s">
        <v>14</v>
      </c>
      <c r="D58" s="27" t="s">
        <v>39</v>
      </c>
      <c r="E58" s="27" t="s">
        <v>58</v>
      </c>
      <c r="F58" s="27" t="s">
        <v>33</v>
      </c>
      <c r="G58" s="28" t="s">
        <v>84</v>
      </c>
      <c r="H58" s="29">
        <f t="shared" si="0"/>
        <v>4.1666666666666685E-2</v>
      </c>
      <c r="I58" s="30">
        <v>0.45833333333333331</v>
      </c>
      <c r="J58" s="30">
        <v>0.5</v>
      </c>
    </row>
    <row r="59" spans="1:10" x14ac:dyDescent="0.2">
      <c r="A59" s="22">
        <v>45705</v>
      </c>
      <c r="B59" s="22" t="s">
        <v>23</v>
      </c>
      <c r="C59" s="27" t="s">
        <v>14</v>
      </c>
      <c r="D59" s="27" t="s">
        <v>39</v>
      </c>
      <c r="E59" s="27" t="s">
        <v>52</v>
      </c>
      <c r="F59" s="27" t="s">
        <v>33</v>
      </c>
      <c r="G59" s="28" t="s">
        <v>85</v>
      </c>
      <c r="H59" s="29">
        <f t="shared" si="0"/>
        <v>4.1666666666666741E-2</v>
      </c>
      <c r="I59" s="30">
        <v>0.54166666666666663</v>
      </c>
      <c r="J59" s="30">
        <v>0.58333333333333337</v>
      </c>
    </row>
    <row r="60" spans="1:10" ht="50.4" x14ac:dyDescent="0.2">
      <c r="A60" s="22">
        <v>45705</v>
      </c>
      <c r="B60" s="22" t="s">
        <v>23</v>
      </c>
      <c r="C60" s="27" t="s">
        <v>14</v>
      </c>
      <c r="D60" s="27" t="s">
        <v>39</v>
      </c>
      <c r="E60" s="27" t="s">
        <v>58</v>
      </c>
      <c r="F60" s="27" t="s">
        <v>33</v>
      </c>
      <c r="G60" s="28" t="s">
        <v>86</v>
      </c>
      <c r="H60" s="29">
        <f t="shared" si="0"/>
        <v>8.3333333333333259E-2</v>
      </c>
      <c r="I60" s="30">
        <v>0.58333333333333337</v>
      </c>
      <c r="J60" s="30">
        <v>0.66666666666666663</v>
      </c>
    </row>
    <row r="61" spans="1:10" ht="37.799999999999997" x14ac:dyDescent="0.2">
      <c r="A61" s="22">
        <v>45705</v>
      </c>
      <c r="B61" s="22" t="s">
        <v>23</v>
      </c>
      <c r="C61" s="27" t="s">
        <v>14</v>
      </c>
      <c r="D61" s="27" t="s">
        <v>39</v>
      </c>
      <c r="E61" s="27" t="s">
        <v>44</v>
      </c>
      <c r="F61" s="27" t="s">
        <v>33</v>
      </c>
      <c r="G61" s="28" t="s">
        <v>87</v>
      </c>
      <c r="H61" s="29">
        <f t="shared" si="0"/>
        <v>5.4166666666666696E-2</v>
      </c>
      <c r="I61" s="30">
        <v>0.66666666666666663</v>
      </c>
      <c r="J61" s="30">
        <v>0.72083333333333333</v>
      </c>
    </row>
    <row r="62" spans="1:10" ht="25.2" x14ac:dyDescent="0.2">
      <c r="A62" s="22">
        <v>45706</v>
      </c>
      <c r="B62" s="22" t="s">
        <v>13</v>
      </c>
      <c r="C62" s="27" t="s">
        <v>14</v>
      </c>
      <c r="D62" s="27" t="s">
        <v>39</v>
      </c>
      <c r="E62" s="27" t="s">
        <v>52</v>
      </c>
      <c r="F62" s="27" t="s">
        <v>33</v>
      </c>
      <c r="G62" s="28" t="s">
        <v>88</v>
      </c>
      <c r="H62" s="29">
        <f t="shared" si="0"/>
        <v>2.083333333333337E-2</v>
      </c>
      <c r="I62" s="30">
        <v>0.33333333333333331</v>
      </c>
      <c r="J62" s="30">
        <v>0.35416666666666669</v>
      </c>
    </row>
    <row r="63" spans="1:10" ht="37.799999999999997" x14ac:dyDescent="0.2">
      <c r="A63" s="22">
        <v>45706</v>
      </c>
      <c r="B63" s="22" t="s">
        <v>13</v>
      </c>
      <c r="C63" s="27" t="s">
        <v>14</v>
      </c>
      <c r="D63" s="27" t="s">
        <v>39</v>
      </c>
      <c r="E63" s="27" t="s">
        <v>44</v>
      </c>
      <c r="F63" s="27" t="s">
        <v>33</v>
      </c>
      <c r="G63" s="28" t="s">
        <v>89</v>
      </c>
      <c r="H63" s="29">
        <f t="shared" si="0"/>
        <v>2.0833333333333315E-2</v>
      </c>
      <c r="I63" s="30">
        <v>0.35416666666666669</v>
      </c>
      <c r="J63" s="30">
        <v>0.375</v>
      </c>
    </row>
    <row r="64" spans="1:10" x14ac:dyDescent="0.2">
      <c r="A64" s="22">
        <v>45706</v>
      </c>
      <c r="B64" s="22" t="s">
        <v>13</v>
      </c>
      <c r="C64" s="27" t="s">
        <v>14</v>
      </c>
      <c r="D64" s="27" t="s">
        <v>39</v>
      </c>
      <c r="E64" s="27" t="s">
        <v>58</v>
      </c>
      <c r="F64" s="27" t="s">
        <v>33</v>
      </c>
      <c r="G64" s="28" t="s">
        <v>90</v>
      </c>
      <c r="H64" s="29">
        <f t="shared" si="0"/>
        <v>8.3333333333333315E-2</v>
      </c>
      <c r="I64" s="30">
        <v>0.375</v>
      </c>
      <c r="J64" s="30">
        <v>0.45833333333333331</v>
      </c>
    </row>
    <row r="65" spans="1:10" x14ac:dyDescent="0.2">
      <c r="A65" s="22">
        <v>45706</v>
      </c>
      <c r="B65" s="22" t="s">
        <v>13</v>
      </c>
      <c r="C65" s="27" t="s">
        <v>14</v>
      </c>
      <c r="D65" s="27" t="s">
        <v>39</v>
      </c>
      <c r="E65" s="27" t="s">
        <v>55</v>
      </c>
      <c r="F65" s="27" t="s">
        <v>33</v>
      </c>
      <c r="G65" s="28" t="s">
        <v>91</v>
      </c>
      <c r="H65" s="29">
        <f t="shared" si="0"/>
        <v>4.1666666666666685E-2</v>
      </c>
      <c r="I65" s="30">
        <v>0.45833333333333331</v>
      </c>
      <c r="J65" s="30">
        <v>0.5</v>
      </c>
    </row>
    <row r="66" spans="1:10" ht="25.2" x14ac:dyDescent="0.2">
      <c r="A66" s="22">
        <v>45706</v>
      </c>
      <c r="B66" s="22" t="s">
        <v>13</v>
      </c>
      <c r="C66" s="27" t="s">
        <v>14</v>
      </c>
      <c r="D66" s="27" t="s">
        <v>39</v>
      </c>
      <c r="E66" s="27" t="s">
        <v>58</v>
      </c>
      <c r="F66" s="27" t="s">
        <v>33</v>
      </c>
      <c r="G66" s="28" t="s">
        <v>92</v>
      </c>
      <c r="H66" s="29">
        <f t="shared" si="0"/>
        <v>0.16666666666666663</v>
      </c>
      <c r="I66" s="30">
        <v>0.5</v>
      </c>
      <c r="J66" s="30">
        <v>0.66666666666666663</v>
      </c>
    </row>
    <row r="67" spans="1:10" ht="50.4" x14ac:dyDescent="0.2">
      <c r="A67" s="22">
        <v>45706</v>
      </c>
      <c r="B67" s="22" t="s">
        <v>13</v>
      </c>
      <c r="C67" s="27" t="s">
        <v>14</v>
      </c>
      <c r="D67" s="27" t="s">
        <v>39</v>
      </c>
      <c r="E67" s="27" t="s">
        <v>44</v>
      </c>
      <c r="F67" s="27" t="s">
        <v>33</v>
      </c>
      <c r="G67" s="28" t="s">
        <v>93</v>
      </c>
      <c r="H67" s="29">
        <f t="shared" si="0"/>
        <v>5.7638888888888906E-2</v>
      </c>
      <c r="I67" s="30">
        <v>0.66666666666666663</v>
      </c>
      <c r="J67" s="30">
        <v>0.72430555555555554</v>
      </c>
    </row>
    <row r="68" spans="1:10" x14ac:dyDescent="0.2">
      <c r="A68" s="22">
        <v>45707</v>
      </c>
      <c r="B68" s="22" t="s">
        <v>18</v>
      </c>
      <c r="C68" s="27" t="s">
        <v>14</v>
      </c>
      <c r="D68" s="27" t="s">
        <v>39</v>
      </c>
      <c r="E68" s="27" t="s">
        <v>55</v>
      </c>
      <c r="F68" s="27" t="s">
        <v>33</v>
      </c>
      <c r="G68" s="28" t="s">
        <v>94</v>
      </c>
      <c r="H68" s="29">
        <f t="shared" si="0"/>
        <v>2.083333333333337E-2</v>
      </c>
      <c r="I68" s="30">
        <v>0.33333333333333331</v>
      </c>
      <c r="J68" s="30">
        <v>0.35416666666666669</v>
      </c>
    </row>
    <row r="69" spans="1:10" ht="25.2" x14ac:dyDescent="0.2">
      <c r="A69" s="22">
        <v>45707</v>
      </c>
      <c r="B69" s="22" t="s">
        <v>18</v>
      </c>
      <c r="C69" s="27" t="s">
        <v>14</v>
      </c>
      <c r="D69" s="27" t="s">
        <v>39</v>
      </c>
      <c r="E69" s="27" t="s">
        <v>44</v>
      </c>
      <c r="F69" s="27" t="s">
        <v>33</v>
      </c>
      <c r="G69" s="28" t="s">
        <v>95</v>
      </c>
      <c r="H69" s="29">
        <f t="shared" si="0"/>
        <v>2.0833333333333315E-2</v>
      </c>
      <c r="I69" s="30">
        <v>0.35416666666666669</v>
      </c>
      <c r="J69" s="30">
        <v>0.375</v>
      </c>
    </row>
    <row r="70" spans="1:10" ht="75.599999999999994" x14ac:dyDescent="0.2">
      <c r="A70" s="22">
        <v>45707</v>
      </c>
      <c r="B70" s="22" t="s">
        <v>18</v>
      </c>
      <c r="C70" s="27" t="s">
        <v>14</v>
      </c>
      <c r="D70" s="27" t="s">
        <v>39</v>
      </c>
      <c r="E70" s="27" t="s">
        <v>58</v>
      </c>
      <c r="F70" s="27" t="s">
        <v>33</v>
      </c>
      <c r="G70" s="28" t="s">
        <v>96</v>
      </c>
      <c r="H70" s="29">
        <f t="shared" si="0"/>
        <v>0.29166666666666663</v>
      </c>
      <c r="I70" s="30">
        <v>0.375</v>
      </c>
      <c r="J70" s="30">
        <v>0.66666666666666663</v>
      </c>
    </row>
    <row r="71" spans="1:10" ht="37.799999999999997" x14ac:dyDescent="0.2">
      <c r="A71" s="22">
        <v>45707</v>
      </c>
      <c r="B71" s="22" t="s">
        <v>18</v>
      </c>
      <c r="C71" s="27" t="s">
        <v>14</v>
      </c>
      <c r="D71" s="27" t="s">
        <v>39</v>
      </c>
      <c r="E71" s="27" t="s">
        <v>44</v>
      </c>
      <c r="F71" s="27" t="s">
        <v>33</v>
      </c>
      <c r="G71" s="28" t="s">
        <v>97</v>
      </c>
      <c r="H71" s="29">
        <f t="shared" si="0"/>
        <v>7.4305555555555625E-2</v>
      </c>
      <c r="I71" s="30">
        <v>0.66666666666666663</v>
      </c>
      <c r="J71" s="30">
        <v>0.74097222222222225</v>
      </c>
    </row>
    <row r="72" spans="1:10" x14ac:dyDescent="0.2">
      <c r="A72" s="22">
        <v>45708</v>
      </c>
      <c r="B72" s="22" t="s">
        <v>19</v>
      </c>
      <c r="C72" s="27" t="s">
        <v>14</v>
      </c>
      <c r="D72" s="27" t="s">
        <v>39</v>
      </c>
      <c r="E72" s="27" t="s">
        <v>55</v>
      </c>
      <c r="F72" s="27" t="s">
        <v>33</v>
      </c>
      <c r="G72" s="28" t="s">
        <v>98</v>
      </c>
      <c r="H72" s="29">
        <f t="shared" si="0"/>
        <v>2.083333333333337E-2</v>
      </c>
      <c r="I72" s="30">
        <v>0.33333333333333331</v>
      </c>
      <c r="J72" s="30">
        <v>0.35416666666666669</v>
      </c>
    </row>
    <row r="73" spans="1:10" ht="25.2" x14ac:dyDescent="0.2">
      <c r="A73" s="22">
        <v>45708</v>
      </c>
      <c r="B73" s="22" t="s">
        <v>19</v>
      </c>
      <c r="C73" s="27" t="s">
        <v>14</v>
      </c>
      <c r="D73" s="27" t="s">
        <v>39</v>
      </c>
      <c r="E73" s="27" t="s">
        <v>44</v>
      </c>
      <c r="F73" s="27" t="s">
        <v>33</v>
      </c>
      <c r="G73" s="28" t="s">
        <v>95</v>
      </c>
      <c r="H73" s="29">
        <f t="shared" si="0"/>
        <v>2.2916666666666641E-2</v>
      </c>
      <c r="I73" s="30">
        <v>0.35416666666666669</v>
      </c>
      <c r="J73" s="30">
        <v>0.37708333333333333</v>
      </c>
    </row>
    <row r="74" spans="1:10" ht="37.799999999999997" x14ac:dyDescent="0.2">
      <c r="A74" s="22">
        <v>45708</v>
      </c>
      <c r="B74" s="22" t="s">
        <v>19</v>
      </c>
      <c r="C74" s="27" t="s">
        <v>14</v>
      </c>
      <c r="D74" s="27" t="s">
        <v>39</v>
      </c>
      <c r="E74" s="27" t="s">
        <v>58</v>
      </c>
      <c r="F74" s="27" t="s">
        <v>33</v>
      </c>
      <c r="G74" s="28" t="s">
        <v>99</v>
      </c>
      <c r="H74" s="29">
        <f t="shared" si="0"/>
        <v>0.24791666666666667</v>
      </c>
      <c r="I74" s="30">
        <v>0.37708333333333333</v>
      </c>
      <c r="J74" s="30">
        <v>0.625</v>
      </c>
    </row>
    <row r="75" spans="1:10" ht="25.2" x14ac:dyDescent="0.2">
      <c r="A75" s="22">
        <v>45708</v>
      </c>
      <c r="B75" s="22" t="s">
        <v>19</v>
      </c>
      <c r="C75" s="27" t="s">
        <v>14</v>
      </c>
      <c r="D75" s="27" t="s">
        <v>39</v>
      </c>
      <c r="E75" s="27" t="s">
        <v>58</v>
      </c>
      <c r="F75" s="27" t="s">
        <v>33</v>
      </c>
      <c r="G75" s="28" t="s">
        <v>100</v>
      </c>
      <c r="H75" s="29">
        <f t="shared" si="0"/>
        <v>4.166666666666663E-2</v>
      </c>
      <c r="I75" s="30">
        <v>0.625</v>
      </c>
      <c r="J75" s="30">
        <v>0.66666666666666663</v>
      </c>
    </row>
    <row r="76" spans="1:10" ht="37.799999999999997" x14ac:dyDescent="0.2">
      <c r="A76" s="22">
        <v>45708</v>
      </c>
      <c r="B76" s="22" t="s">
        <v>19</v>
      </c>
      <c r="C76" s="27" t="s">
        <v>14</v>
      </c>
      <c r="D76" s="27" t="s">
        <v>39</v>
      </c>
      <c r="E76" s="27" t="s">
        <v>44</v>
      </c>
      <c r="F76" s="27" t="s">
        <v>33</v>
      </c>
      <c r="G76" s="28" t="s">
        <v>101</v>
      </c>
      <c r="H76" s="29">
        <f t="shared" si="0"/>
        <v>6.25E-2</v>
      </c>
      <c r="I76" s="30">
        <v>0.66666666666666663</v>
      </c>
      <c r="J76" s="30">
        <v>0.72916666666666663</v>
      </c>
    </row>
    <row r="77" spans="1:10" ht="25.2" x14ac:dyDescent="0.2">
      <c r="A77" s="22">
        <v>45709</v>
      </c>
      <c r="B77" s="22" t="s">
        <v>20</v>
      </c>
      <c r="C77" s="27" t="s">
        <v>14</v>
      </c>
      <c r="D77" s="27" t="s">
        <v>39</v>
      </c>
      <c r="E77" s="27" t="s">
        <v>55</v>
      </c>
      <c r="F77" s="27" t="s">
        <v>33</v>
      </c>
      <c r="G77" s="28" t="s">
        <v>63</v>
      </c>
      <c r="H77" s="29">
        <f t="shared" si="0"/>
        <v>2.083333333333337E-2</v>
      </c>
      <c r="I77" s="30">
        <v>0.33333333333333331</v>
      </c>
      <c r="J77" s="30">
        <v>0.35416666666666669</v>
      </c>
    </row>
    <row r="78" spans="1:10" ht="37.799999999999997" x14ac:dyDescent="0.2">
      <c r="A78" s="22">
        <v>45709</v>
      </c>
      <c r="B78" s="22" t="s">
        <v>20</v>
      </c>
      <c r="C78" s="27" t="s">
        <v>14</v>
      </c>
      <c r="D78" s="27" t="s">
        <v>39</v>
      </c>
      <c r="E78" s="27" t="s">
        <v>44</v>
      </c>
      <c r="F78" s="27" t="s">
        <v>33</v>
      </c>
      <c r="G78" s="28" t="s">
        <v>89</v>
      </c>
      <c r="H78" s="29">
        <f t="shared" si="0"/>
        <v>3.125E-2</v>
      </c>
      <c r="I78" s="30">
        <v>0.35416666666666669</v>
      </c>
      <c r="J78" s="30">
        <v>0.38541666666666669</v>
      </c>
    </row>
    <row r="79" spans="1:10" ht="37.799999999999997" x14ac:dyDescent="0.2">
      <c r="A79" s="22">
        <v>45709</v>
      </c>
      <c r="B79" s="22" t="s">
        <v>20</v>
      </c>
      <c r="C79" s="27" t="s">
        <v>14</v>
      </c>
      <c r="D79" s="27" t="s">
        <v>39</v>
      </c>
      <c r="E79" s="27" t="s">
        <v>58</v>
      </c>
      <c r="F79" s="27" t="s">
        <v>33</v>
      </c>
      <c r="G79" s="28" t="s">
        <v>102</v>
      </c>
      <c r="H79" s="29">
        <f>J79-I79</f>
        <v>0.11458333333333331</v>
      </c>
      <c r="I79" s="30">
        <v>0.38541666666666669</v>
      </c>
      <c r="J79" s="30">
        <v>0.5</v>
      </c>
    </row>
    <row r="80" spans="1:10" ht="25.2" x14ac:dyDescent="0.2">
      <c r="A80" s="22">
        <v>45709</v>
      </c>
      <c r="B80" s="22" t="s">
        <v>20</v>
      </c>
      <c r="C80" s="27" t="s">
        <v>14</v>
      </c>
      <c r="D80" s="27" t="s">
        <v>39</v>
      </c>
      <c r="E80" s="27" t="s">
        <v>103</v>
      </c>
      <c r="F80" s="27" t="s">
        <v>33</v>
      </c>
      <c r="G80" s="28" t="s">
        <v>104</v>
      </c>
      <c r="H80" s="29">
        <f t="shared" si="0"/>
        <v>4.1666666666666741E-2</v>
      </c>
      <c r="I80" s="30">
        <v>0.54166666666666663</v>
      </c>
      <c r="J80" s="30">
        <v>0.58333333333333337</v>
      </c>
    </row>
    <row r="81" spans="1:10" x14ac:dyDescent="0.2">
      <c r="A81" s="22">
        <v>45709</v>
      </c>
      <c r="B81" s="22" t="s">
        <v>20</v>
      </c>
      <c r="C81" s="27" t="s">
        <v>14</v>
      </c>
      <c r="D81" s="27" t="s">
        <v>39</v>
      </c>
      <c r="E81" s="27" t="s">
        <v>58</v>
      </c>
      <c r="F81" s="27" t="s">
        <v>33</v>
      </c>
      <c r="G81" s="28" t="s">
        <v>105</v>
      </c>
      <c r="H81" s="29">
        <f t="shared" si="0"/>
        <v>4.166666666666663E-2</v>
      </c>
      <c r="I81" s="30">
        <v>0.58333333333333337</v>
      </c>
      <c r="J81" s="30">
        <v>0.625</v>
      </c>
    </row>
    <row r="82" spans="1:10" x14ac:dyDescent="0.2">
      <c r="A82" s="22">
        <v>45709</v>
      </c>
      <c r="B82" s="22" t="s">
        <v>20</v>
      </c>
      <c r="C82" s="27" t="s">
        <v>14</v>
      </c>
      <c r="D82" s="27" t="s">
        <v>39</v>
      </c>
      <c r="E82" s="27" t="s">
        <v>55</v>
      </c>
      <c r="F82" s="27" t="s">
        <v>33</v>
      </c>
      <c r="G82" s="28" t="s">
        <v>106</v>
      </c>
      <c r="H82" s="29">
        <f t="shared" si="0"/>
        <v>4.166666666666663E-2</v>
      </c>
      <c r="I82" s="30">
        <v>0.625</v>
      </c>
      <c r="J82" s="30">
        <v>0.66666666666666663</v>
      </c>
    </row>
    <row r="83" spans="1:10" ht="37.799999999999997" x14ac:dyDescent="0.2">
      <c r="A83" s="22">
        <v>45709</v>
      </c>
      <c r="B83" s="22" t="s">
        <v>20</v>
      </c>
      <c r="C83" s="27" t="s">
        <v>14</v>
      </c>
      <c r="D83" s="27" t="s">
        <v>39</v>
      </c>
      <c r="E83" s="27" t="s">
        <v>44</v>
      </c>
      <c r="F83" s="27" t="s">
        <v>33</v>
      </c>
      <c r="G83" s="28" t="s">
        <v>107</v>
      </c>
      <c r="H83" s="29">
        <f t="shared" si="0"/>
        <v>4.6527777777777835E-2</v>
      </c>
      <c r="I83" s="30">
        <v>0.66666666666666663</v>
      </c>
      <c r="J83" s="30">
        <v>0.71319444444444446</v>
      </c>
    </row>
    <row r="84" spans="1:10" x14ac:dyDescent="0.2">
      <c r="A84" s="31">
        <v>45710</v>
      </c>
      <c r="B84" s="31" t="s">
        <v>21</v>
      </c>
      <c r="C84" s="32"/>
      <c r="D84" s="32"/>
      <c r="E84" s="32"/>
      <c r="F84" s="32"/>
      <c r="G84" s="33"/>
      <c r="H84" s="34">
        <f t="shared" si="0"/>
        <v>0</v>
      </c>
      <c r="I84" s="35"/>
      <c r="J84" s="35"/>
    </row>
    <row r="85" spans="1:10" x14ac:dyDescent="0.2">
      <c r="A85" s="31">
        <v>45711</v>
      </c>
      <c r="B85" s="31" t="s">
        <v>22</v>
      </c>
      <c r="C85" s="32"/>
      <c r="D85" s="32"/>
      <c r="E85" s="32"/>
      <c r="F85" s="32"/>
      <c r="G85" s="33"/>
      <c r="H85" s="34">
        <f t="shared" si="0"/>
        <v>0</v>
      </c>
      <c r="I85" s="35"/>
      <c r="J85" s="35"/>
    </row>
    <row r="86" spans="1:10" x14ac:dyDescent="0.2">
      <c r="A86" s="22">
        <v>45712</v>
      </c>
      <c r="B86" s="22" t="s">
        <v>23</v>
      </c>
      <c r="C86" s="27" t="s">
        <v>14</v>
      </c>
      <c r="D86" s="27" t="s">
        <v>39</v>
      </c>
      <c r="E86" s="27" t="s">
        <v>55</v>
      </c>
      <c r="F86" s="27" t="s">
        <v>33</v>
      </c>
      <c r="G86" s="28" t="s">
        <v>108</v>
      </c>
      <c r="H86" s="29">
        <f t="shared" si="0"/>
        <v>2.083333333333337E-2</v>
      </c>
      <c r="I86" s="30">
        <v>0.33333333333333331</v>
      </c>
      <c r="J86" s="30">
        <v>0.35416666666666669</v>
      </c>
    </row>
    <row r="87" spans="1:10" ht="37.799999999999997" x14ac:dyDescent="0.2">
      <c r="A87" s="22">
        <v>45712</v>
      </c>
      <c r="B87" s="22" t="s">
        <v>23</v>
      </c>
      <c r="C87" s="27" t="s">
        <v>14</v>
      </c>
      <c r="D87" s="27" t="s">
        <v>39</v>
      </c>
      <c r="E87" s="27" t="s">
        <v>44</v>
      </c>
      <c r="F87" s="27" t="s">
        <v>33</v>
      </c>
      <c r="G87" s="28" t="s">
        <v>109</v>
      </c>
      <c r="H87" s="29">
        <f t="shared" si="0"/>
        <v>3.3333333333333326E-2</v>
      </c>
      <c r="I87" s="30">
        <v>0.35416666666666669</v>
      </c>
      <c r="J87" s="30">
        <v>0.38750000000000001</v>
      </c>
    </row>
    <row r="88" spans="1:10" x14ac:dyDescent="0.2">
      <c r="A88" s="22">
        <v>45712</v>
      </c>
      <c r="B88" s="22" t="s">
        <v>23</v>
      </c>
      <c r="C88" s="27" t="s">
        <v>14</v>
      </c>
      <c r="D88" s="27" t="s">
        <v>39</v>
      </c>
      <c r="E88" s="27" t="s">
        <v>58</v>
      </c>
      <c r="F88" s="27" t="s">
        <v>33</v>
      </c>
      <c r="G88" s="28" t="s">
        <v>110</v>
      </c>
      <c r="H88" s="29">
        <f t="shared" si="0"/>
        <v>0.11249999999999999</v>
      </c>
      <c r="I88" s="30">
        <v>0.38750000000000001</v>
      </c>
      <c r="J88" s="30">
        <v>0.5</v>
      </c>
    </row>
    <row r="89" spans="1:10" x14ac:dyDescent="0.2">
      <c r="A89" s="22">
        <v>45712</v>
      </c>
      <c r="B89" s="22" t="s">
        <v>23</v>
      </c>
      <c r="C89" s="27" t="s">
        <v>14</v>
      </c>
      <c r="D89" s="27" t="s">
        <v>39</v>
      </c>
      <c r="E89" s="27" t="s">
        <v>58</v>
      </c>
      <c r="F89" s="27" t="s">
        <v>33</v>
      </c>
      <c r="G89" s="28" t="s">
        <v>111</v>
      </c>
      <c r="H89" s="29">
        <f t="shared" si="0"/>
        <v>4.1666666666666741E-2</v>
      </c>
      <c r="I89" s="30">
        <v>0.54166666666666663</v>
      </c>
      <c r="J89" s="30">
        <v>0.58333333333333337</v>
      </c>
    </row>
    <row r="90" spans="1:10" x14ac:dyDescent="0.2">
      <c r="A90" s="22">
        <v>45712</v>
      </c>
      <c r="B90" s="22" t="s">
        <v>23</v>
      </c>
      <c r="C90" s="27" t="s">
        <v>14</v>
      </c>
      <c r="D90" s="27" t="s">
        <v>39</v>
      </c>
      <c r="E90" s="27" t="s">
        <v>58</v>
      </c>
      <c r="F90" s="27" t="s">
        <v>33</v>
      </c>
      <c r="G90" s="28" t="s">
        <v>112</v>
      </c>
      <c r="H90" s="29">
        <f t="shared" si="0"/>
        <v>8.3333333333333259E-2</v>
      </c>
      <c r="I90" s="30">
        <v>0.58333333333333337</v>
      </c>
      <c r="J90" s="30">
        <v>0.66666666666666663</v>
      </c>
    </row>
    <row r="91" spans="1:10" ht="37.799999999999997" x14ac:dyDescent="0.2">
      <c r="A91" s="22">
        <v>45712</v>
      </c>
      <c r="B91" s="22" t="s">
        <v>23</v>
      </c>
      <c r="C91" s="27" t="s">
        <v>14</v>
      </c>
      <c r="D91" s="27" t="s">
        <v>39</v>
      </c>
      <c r="E91" s="27" t="s">
        <v>44</v>
      </c>
      <c r="F91" s="27" t="s">
        <v>33</v>
      </c>
      <c r="G91" s="28" t="s">
        <v>107</v>
      </c>
      <c r="H91" s="29">
        <f t="shared" si="0"/>
        <v>4.1666666666666741E-2</v>
      </c>
      <c r="I91" s="30">
        <v>0.66666666666666663</v>
      </c>
      <c r="J91" s="30">
        <v>0.70833333333333337</v>
      </c>
    </row>
    <row r="92" spans="1:10" ht="25.2" x14ac:dyDescent="0.2">
      <c r="A92" s="22">
        <v>45713</v>
      </c>
      <c r="B92" s="22" t="s">
        <v>13</v>
      </c>
      <c r="C92" s="27" t="s">
        <v>14</v>
      </c>
      <c r="D92" s="27" t="s">
        <v>39</v>
      </c>
      <c r="E92" s="27" t="s">
        <v>55</v>
      </c>
      <c r="F92" s="27" t="s">
        <v>33</v>
      </c>
      <c r="G92" s="28" t="s">
        <v>113</v>
      </c>
      <c r="H92" s="29">
        <f t="shared" si="0"/>
        <v>2.083333333333337E-2</v>
      </c>
      <c r="I92" s="30">
        <v>0.33333333333333331</v>
      </c>
      <c r="J92" s="30">
        <v>0.35416666666666669</v>
      </c>
    </row>
    <row r="93" spans="1:10" ht="37.799999999999997" x14ac:dyDescent="0.2">
      <c r="A93" s="22">
        <v>45713</v>
      </c>
      <c r="B93" s="22" t="s">
        <v>13</v>
      </c>
      <c r="C93" s="27" t="s">
        <v>14</v>
      </c>
      <c r="D93" s="27" t="s">
        <v>39</v>
      </c>
      <c r="E93" s="27" t="s">
        <v>44</v>
      </c>
      <c r="F93" s="27" t="s">
        <v>33</v>
      </c>
      <c r="G93" s="28" t="s">
        <v>109</v>
      </c>
      <c r="H93" s="29">
        <f t="shared" si="0"/>
        <v>2.7777777777777735E-2</v>
      </c>
      <c r="I93" s="30">
        <v>0.35416666666666669</v>
      </c>
      <c r="J93" s="30">
        <v>0.38194444444444442</v>
      </c>
    </row>
    <row r="94" spans="1:10" ht="50.4" x14ac:dyDescent="0.2">
      <c r="A94" s="22">
        <v>45713</v>
      </c>
      <c r="B94" s="22" t="s">
        <v>13</v>
      </c>
      <c r="C94" s="27" t="s">
        <v>14</v>
      </c>
      <c r="D94" s="27" t="s">
        <v>39</v>
      </c>
      <c r="E94" s="27" t="s">
        <v>58</v>
      </c>
      <c r="F94" s="27" t="s">
        <v>33</v>
      </c>
      <c r="G94" s="28" t="s">
        <v>114</v>
      </c>
      <c r="H94" s="29">
        <f t="shared" si="0"/>
        <v>0.11805555555555558</v>
      </c>
      <c r="I94" s="30">
        <v>0.38194444444444442</v>
      </c>
      <c r="J94" s="30">
        <v>0.5</v>
      </c>
    </row>
    <row r="95" spans="1:10" ht="37.799999999999997" x14ac:dyDescent="0.2">
      <c r="A95" s="22">
        <v>45713</v>
      </c>
      <c r="B95" s="22" t="s">
        <v>13</v>
      </c>
      <c r="C95" s="27" t="s">
        <v>14</v>
      </c>
      <c r="D95" s="27" t="s">
        <v>39</v>
      </c>
      <c r="E95" s="27" t="s">
        <v>58</v>
      </c>
      <c r="F95" s="27" t="s">
        <v>33</v>
      </c>
      <c r="G95" s="28" t="s">
        <v>115</v>
      </c>
      <c r="H95" s="29">
        <f t="shared" si="0"/>
        <v>0.125</v>
      </c>
      <c r="I95" s="30">
        <v>0.54166666666666663</v>
      </c>
      <c r="J95" s="30">
        <v>0.66666666666666663</v>
      </c>
    </row>
    <row r="96" spans="1:10" ht="37.799999999999997" x14ac:dyDescent="0.2">
      <c r="A96" s="22">
        <v>45713</v>
      </c>
      <c r="B96" s="22" t="s">
        <v>13</v>
      </c>
      <c r="C96" s="27" t="s">
        <v>14</v>
      </c>
      <c r="D96" s="27" t="s">
        <v>39</v>
      </c>
      <c r="E96" s="27" t="s">
        <v>44</v>
      </c>
      <c r="F96" s="27" t="s">
        <v>33</v>
      </c>
      <c r="G96" s="28" t="s">
        <v>116</v>
      </c>
      <c r="H96" s="29">
        <f t="shared" si="0"/>
        <v>5.3472222222222254E-2</v>
      </c>
      <c r="I96" s="30">
        <v>0.66666666666666663</v>
      </c>
      <c r="J96" s="30">
        <v>0.72013888888888888</v>
      </c>
    </row>
    <row r="97" spans="1:10" ht="25.2" x14ac:dyDescent="0.2">
      <c r="A97" s="22">
        <v>45714</v>
      </c>
      <c r="B97" s="22" t="s">
        <v>18</v>
      </c>
      <c r="C97" s="27" t="s">
        <v>14</v>
      </c>
      <c r="D97" s="27" t="s">
        <v>39</v>
      </c>
      <c r="E97" s="27" t="s">
        <v>55</v>
      </c>
      <c r="F97" s="27" t="s">
        <v>33</v>
      </c>
      <c r="G97" s="28" t="s">
        <v>117</v>
      </c>
      <c r="H97" s="29">
        <f t="shared" si="0"/>
        <v>2.083333333333337E-2</v>
      </c>
      <c r="I97" s="30">
        <v>0.33333333333333331</v>
      </c>
      <c r="J97" s="30">
        <v>0.35416666666666669</v>
      </c>
    </row>
    <row r="98" spans="1:10" ht="37.799999999999997" x14ac:dyDescent="0.2">
      <c r="A98" s="22">
        <v>45714</v>
      </c>
      <c r="B98" s="22" t="s">
        <v>18</v>
      </c>
      <c r="C98" s="27" t="s">
        <v>14</v>
      </c>
      <c r="D98" s="27" t="s">
        <v>39</v>
      </c>
      <c r="E98" s="27" t="s">
        <v>44</v>
      </c>
      <c r="F98" s="27" t="s">
        <v>33</v>
      </c>
      <c r="G98" s="28" t="s">
        <v>109</v>
      </c>
      <c r="H98" s="29">
        <f t="shared" si="0"/>
        <v>3.0555555555555558E-2</v>
      </c>
      <c r="I98" s="30">
        <v>0.35416666666666669</v>
      </c>
      <c r="J98" s="30">
        <v>0.38472222222222224</v>
      </c>
    </row>
    <row r="99" spans="1:10" x14ac:dyDescent="0.2">
      <c r="A99" s="22">
        <v>45714</v>
      </c>
      <c r="B99" s="22" t="s">
        <v>18</v>
      </c>
      <c r="C99" s="27" t="s">
        <v>14</v>
      </c>
      <c r="D99" s="27" t="s">
        <v>39</v>
      </c>
      <c r="E99" s="27" t="s">
        <v>58</v>
      </c>
      <c r="F99" s="27" t="s">
        <v>33</v>
      </c>
      <c r="G99" s="28" t="s">
        <v>118</v>
      </c>
      <c r="H99" s="29">
        <f t="shared" si="0"/>
        <v>7.3611111111111072E-2</v>
      </c>
      <c r="I99" s="30">
        <v>0.38472222222222224</v>
      </c>
      <c r="J99" s="30">
        <v>0.45833333333333331</v>
      </c>
    </row>
    <row r="100" spans="1:10" ht="25.2" x14ac:dyDescent="0.2">
      <c r="A100" s="22">
        <v>45714</v>
      </c>
      <c r="B100" s="22" t="s">
        <v>18</v>
      </c>
      <c r="C100" s="27" t="s">
        <v>14</v>
      </c>
      <c r="D100" s="27" t="s">
        <v>39</v>
      </c>
      <c r="E100" s="27" t="s">
        <v>44</v>
      </c>
      <c r="F100" s="27" t="s">
        <v>33</v>
      </c>
      <c r="G100" s="28" t="s">
        <v>119</v>
      </c>
      <c r="H100" s="29">
        <f t="shared" si="0"/>
        <v>4.1666666666666685E-2</v>
      </c>
      <c r="I100" s="30">
        <v>0.45833333333333331</v>
      </c>
      <c r="J100" s="30">
        <v>0.5</v>
      </c>
    </row>
    <row r="101" spans="1:10" x14ac:dyDescent="0.2">
      <c r="A101" s="22">
        <v>45714</v>
      </c>
      <c r="B101" s="22" t="s">
        <v>18</v>
      </c>
      <c r="C101" s="27" t="s">
        <v>14</v>
      </c>
      <c r="D101" s="27" t="s">
        <v>39</v>
      </c>
      <c r="E101" s="27" t="s">
        <v>58</v>
      </c>
      <c r="F101" s="27" t="s">
        <v>33</v>
      </c>
      <c r="G101" s="28" t="s">
        <v>118</v>
      </c>
      <c r="H101" s="29">
        <f t="shared" si="0"/>
        <v>0.125</v>
      </c>
      <c r="I101" s="30">
        <v>0.54166666666666663</v>
      </c>
      <c r="J101" s="30">
        <v>0.66666666666666663</v>
      </c>
    </row>
    <row r="102" spans="1:10" ht="37.799999999999997" x14ac:dyDescent="0.2">
      <c r="A102" s="22">
        <v>45714</v>
      </c>
      <c r="B102" s="22" t="s">
        <v>18</v>
      </c>
      <c r="C102" s="27" t="s">
        <v>14</v>
      </c>
      <c r="D102" s="27" t="s">
        <v>39</v>
      </c>
      <c r="E102" s="27" t="s">
        <v>44</v>
      </c>
      <c r="F102" s="27" t="s">
        <v>33</v>
      </c>
      <c r="G102" s="28" t="s">
        <v>116</v>
      </c>
      <c r="H102" s="29">
        <f t="shared" si="0"/>
        <v>5.3472222222222254E-2</v>
      </c>
      <c r="I102" s="30">
        <v>0.66666666666666663</v>
      </c>
      <c r="J102" s="30">
        <v>0.72013888888888888</v>
      </c>
    </row>
    <row r="103" spans="1:10" ht="25.2" x14ac:dyDescent="0.2">
      <c r="A103" s="22">
        <v>45715</v>
      </c>
      <c r="B103" s="22" t="s">
        <v>19</v>
      </c>
      <c r="C103" s="27" t="s">
        <v>14</v>
      </c>
      <c r="D103" s="27" t="s">
        <v>39</v>
      </c>
      <c r="E103" s="27" t="s">
        <v>55</v>
      </c>
      <c r="F103" s="27" t="s">
        <v>33</v>
      </c>
      <c r="G103" s="28" t="s">
        <v>63</v>
      </c>
      <c r="H103" s="29">
        <f t="shared" si="0"/>
        <v>2.083333333333337E-2</v>
      </c>
      <c r="I103" s="30">
        <v>0.33333333333333331</v>
      </c>
      <c r="J103" s="30">
        <v>0.35416666666666669</v>
      </c>
    </row>
    <row r="104" spans="1:10" ht="37.799999999999997" x14ac:dyDescent="0.2">
      <c r="A104" s="22">
        <v>45715</v>
      </c>
      <c r="B104" s="22" t="s">
        <v>19</v>
      </c>
      <c r="C104" s="27" t="s">
        <v>14</v>
      </c>
      <c r="D104" s="27" t="s">
        <v>39</v>
      </c>
      <c r="E104" s="27" t="s">
        <v>44</v>
      </c>
      <c r="F104" s="27" t="s">
        <v>33</v>
      </c>
      <c r="G104" s="28" t="s">
        <v>109</v>
      </c>
      <c r="H104" s="29">
        <f t="shared" si="0"/>
        <v>2.0833333333333315E-2</v>
      </c>
      <c r="I104" s="30">
        <v>0.35416666666666669</v>
      </c>
      <c r="J104" s="30">
        <v>0.375</v>
      </c>
    </row>
    <row r="105" spans="1:10" x14ac:dyDescent="0.2">
      <c r="A105" s="22">
        <v>45715</v>
      </c>
      <c r="B105" s="22" t="s">
        <v>19</v>
      </c>
      <c r="C105" s="27" t="s">
        <v>14</v>
      </c>
      <c r="D105" s="27" t="s">
        <v>39</v>
      </c>
      <c r="E105" s="27" t="s">
        <v>58</v>
      </c>
      <c r="F105" s="27" t="s">
        <v>33</v>
      </c>
      <c r="G105" s="28" t="s">
        <v>120</v>
      </c>
      <c r="H105" s="29">
        <f t="shared" si="0"/>
        <v>0.125</v>
      </c>
      <c r="I105" s="30">
        <v>0.375</v>
      </c>
      <c r="J105" s="30">
        <v>0.5</v>
      </c>
    </row>
    <row r="106" spans="1:10" x14ac:dyDescent="0.2">
      <c r="A106" s="22">
        <v>45715</v>
      </c>
      <c r="B106" s="22" t="s">
        <v>19</v>
      </c>
      <c r="C106" s="27" t="s">
        <v>14</v>
      </c>
      <c r="D106" s="27" t="s">
        <v>39</v>
      </c>
      <c r="E106" s="27" t="s">
        <v>58</v>
      </c>
      <c r="F106" s="27" t="s">
        <v>33</v>
      </c>
      <c r="G106" s="28" t="s">
        <v>121</v>
      </c>
      <c r="H106" s="29">
        <f t="shared" si="0"/>
        <v>0.125</v>
      </c>
      <c r="I106" s="30">
        <v>0.54166666666666663</v>
      </c>
      <c r="J106" s="30">
        <v>0.66666666666666663</v>
      </c>
    </row>
    <row r="107" spans="1:10" ht="37.799999999999997" x14ac:dyDescent="0.2">
      <c r="A107" s="22">
        <v>45715</v>
      </c>
      <c r="B107" s="22" t="s">
        <v>19</v>
      </c>
      <c r="C107" s="27" t="s">
        <v>14</v>
      </c>
      <c r="D107" s="27" t="s">
        <v>39</v>
      </c>
      <c r="E107" s="27" t="s">
        <v>44</v>
      </c>
      <c r="F107" s="27" t="s">
        <v>33</v>
      </c>
      <c r="G107" s="28" t="s">
        <v>116</v>
      </c>
      <c r="H107" s="29">
        <f t="shared" si="0"/>
        <v>5.4166666666666696E-2</v>
      </c>
      <c r="I107" s="30">
        <v>0.66666666666666663</v>
      </c>
      <c r="J107" s="30">
        <v>0.72083333333333333</v>
      </c>
    </row>
    <row r="108" spans="1:10" x14ac:dyDescent="0.2">
      <c r="A108" s="22">
        <v>45716</v>
      </c>
      <c r="B108" s="22" t="s">
        <v>20</v>
      </c>
      <c r="C108" s="27" t="s">
        <v>14</v>
      </c>
      <c r="D108" s="27" t="s">
        <v>39</v>
      </c>
      <c r="E108" s="27" t="s">
        <v>55</v>
      </c>
      <c r="F108" s="27" t="s">
        <v>33</v>
      </c>
      <c r="G108" s="28" t="s">
        <v>122</v>
      </c>
      <c r="H108" s="29">
        <f t="shared" si="0"/>
        <v>2.083333333333337E-2</v>
      </c>
      <c r="I108" s="30">
        <v>0.33333333333333331</v>
      </c>
      <c r="J108" s="30">
        <v>0.35416666666666669</v>
      </c>
    </row>
    <row r="109" spans="1:10" ht="37.799999999999997" x14ac:dyDescent="0.2">
      <c r="A109" s="22">
        <v>45716</v>
      </c>
      <c r="B109" s="22" t="s">
        <v>20</v>
      </c>
      <c r="C109" s="27" t="s">
        <v>14</v>
      </c>
      <c r="D109" s="27" t="s">
        <v>39</v>
      </c>
      <c r="E109" s="27" t="s">
        <v>44</v>
      </c>
      <c r="F109" s="27" t="s">
        <v>33</v>
      </c>
      <c r="G109" s="28" t="s">
        <v>109</v>
      </c>
      <c r="H109" s="29">
        <f t="shared" si="0"/>
        <v>3.2638888888888884E-2</v>
      </c>
      <c r="I109" s="30">
        <v>0.35416666666666669</v>
      </c>
      <c r="J109" s="30">
        <v>0.38680555555555557</v>
      </c>
    </row>
    <row r="110" spans="1:10" ht="37.799999999999997" x14ac:dyDescent="0.2">
      <c r="A110" s="22">
        <v>45716</v>
      </c>
      <c r="B110" s="22" t="s">
        <v>20</v>
      </c>
      <c r="C110" s="27" t="s">
        <v>14</v>
      </c>
      <c r="D110" s="27" t="s">
        <v>39</v>
      </c>
      <c r="E110" s="27" t="s">
        <v>58</v>
      </c>
      <c r="F110" s="27" t="s">
        <v>33</v>
      </c>
      <c r="G110" s="28" t="s">
        <v>123</v>
      </c>
      <c r="H110" s="29">
        <f t="shared" si="0"/>
        <v>0.11319444444444443</v>
      </c>
      <c r="I110" s="30">
        <v>0.38680555555555557</v>
      </c>
      <c r="J110" s="30">
        <v>0.5</v>
      </c>
    </row>
    <row r="111" spans="1:10" x14ac:dyDescent="0.2">
      <c r="A111" s="22">
        <v>45716</v>
      </c>
      <c r="B111" s="22" t="s">
        <v>20</v>
      </c>
      <c r="C111" s="27" t="s">
        <v>14</v>
      </c>
      <c r="D111" s="27" t="s">
        <v>39</v>
      </c>
      <c r="E111" s="27" t="s">
        <v>58</v>
      </c>
      <c r="F111" s="27" t="s">
        <v>33</v>
      </c>
      <c r="G111" s="28" t="s">
        <v>124</v>
      </c>
      <c r="H111" s="29">
        <f t="shared" si="0"/>
        <v>0.125</v>
      </c>
      <c r="I111" s="30">
        <v>0.54166666666666663</v>
      </c>
      <c r="J111" s="30">
        <v>0.66666666666666663</v>
      </c>
    </row>
    <row r="112" spans="1:10" ht="25.2" x14ac:dyDescent="0.2">
      <c r="A112" s="22">
        <v>45716</v>
      </c>
      <c r="B112" s="22" t="s">
        <v>20</v>
      </c>
      <c r="C112" s="27" t="s">
        <v>14</v>
      </c>
      <c r="D112" s="27" t="s">
        <v>39</v>
      </c>
      <c r="E112" s="27" t="s">
        <v>40</v>
      </c>
      <c r="F112" s="27" t="s">
        <v>33</v>
      </c>
      <c r="G112" s="28" t="s">
        <v>125</v>
      </c>
      <c r="H112" s="29">
        <f t="shared" ref="H112" si="1">J112-I112</f>
        <v>4.1666666666666741E-2</v>
      </c>
      <c r="I112" s="30">
        <v>0.66666666666666663</v>
      </c>
      <c r="J112" s="30">
        <v>0.70833333333333337</v>
      </c>
    </row>
    <row r="113" spans="1:10" ht="37.799999999999997" x14ac:dyDescent="0.2">
      <c r="A113" s="22">
        <v>45716</v>
      </c>
      <c r="B113" s="22" t="s">
        <v>20</v>
      </c>
      <c r="C113" s="27" t="s">
        <v>14</v>
      </c>
      <c r="D113" s="27" t="s">
        <v>39</v>
      </c>
      <c r="E113" s="27" t="s">
        <v>44</v>
      </c>
      <c r="F113" s="27" t="s">
        <v>33</v>
      </c>
      <c r="G113" s="28" t="s">
        <v>116</v>
      </c>
      <c r="H113" s="29">
        <f t="shared" si="0"/>
        <v>2.2916666666666585E-2</v>
      </c>
      <c r="I113" s="30">
        <v>0.70833333333333337</v>
      </c>
      <c r="J113" s="30">
        <v>0.73124999999999996</v>
      </c>
    </row>
    <row r="114" spans="1:10" ht="13.95" customHeight="1" thickBot="1" x14ac:dyDescent="0.3">
      <c r="A114" s="46"/>
      <c r="B114" s="45"/>
      <c r="C114" s="45"/>
      <c r="D114" s="45"/>
      <c r="E114" s="45"/>
      <c r="F114" s="45"/>
      <c r="G114" s="45"/>
      <c r="H114" s="36"/>
      <c r="I114" s="37"/>
    </row>
    <row r="115" spans="1:10" ht="13.95" customHeight="1" x14ac:dyDescent="0.25">
      <c r="A115" s="4"/>
      <c r="B115" s="4"/>
      <c r="C115" s="5"/>
      <c r="D115" s="6"/>
      <c r="E115" s="7" t="s">
        <v>24</v>
      </c>
      <c r="F115" s="8">
        <f>F116*8</f>
        <v>160</v>
      </c>
      <c r="H115" s="40"/>
    </row>
    <row r="116" spans="1:10" ht="13.95" customHeight="1" thickBot="1" x14ac:dyDescent="0.3">
      <c r="A116" s="4"/>
      <c r="B116" s="4"/>
      <c r="C116" s="9"/>
      <c r="D116" s="2"/>
      <c r="E116" s="10" t="s">
        <v>25</v>
      </c>
      <c r="F116" s="11">
        <v>20</v>
      </c>
      <c r="H116" s="40"/>
    </row>
    <row r="117" spans="1:10" ht="13.95" customHeight="1" thickBot="1" x14ac:dyDescent="0.3">
      <c r="A117" s="117" t="s">
        <v>26</v>
      </c>
      <c r="B117" s="117"/>
      <c r="C117" s="117"/>
      <c r="D117" s="12"/>
      <c r="E117" s="2"/>
      <c r="F117" s="2"/>
      <c r="H117" s="40"/>
    </row>
    <row r="118" spans="1:10" ht="13.8" x14ac:dyDescent="0.25">
      <c r="A118" s="13"/>
      <c r="B118" s="13"/>
      <c r="C118" s="6"/>
      <c r="D118" s="6"/>
      <c r="E118" s="14" t="s">
        <v>27</v>
      </c>
      <c r="F118" s="15">
        <f>SUMIF(F9:F113,"Billable",H9:H113)</f>
        <v>0</v>
      </c>
      <c r="H118" s="38"/>
    </row>
    <row r="119" spans="1:10" ht="15" customHeight="1" thickBot="1" x14ac:dyDescent="0.3">
      <c r="A119" s="118" t="s">
        <v>28</v>
      </c>
      <c r="B119" s="118"/>
      <c r="C119" s="118"/>
      <c r="D119" s="16"/>
      <c r="E119" s="17" t="s">
        <v>29</v>
      </c>
      <c r="F119" s="18">
        <f>SUMIF(F9:F113,"Non-Billable",H9:H113)</f>
        <v>7.2236111111111088</v>
      </c>
      <c r="H119" s="40"/>
    </row>
    <row r="120" spans="1:10" ht="14.4" thickBot="1" x14ac:dyDescent="0.3">
      <c r="A120" s="2"/>
      <c r="B120" s="2"/>
      <c r="C120" s="2"/>
      <c r="D120" s="2"/>
      <c r="E120" s="19" t="s">
        <v>30</v>
      </c>
      <c r="F120" s="44">
        <f>F118+F119</f>
        <v>7.2236111111111088</v>
      </c>
      <c r="H120" s="40"/>
    </row>
    <row r="121" spans="1:10" ht="13.8" thickBot="1" x14ac:dyDescent="0.3">
      <c r="A121" s="2"/>
      <c r="B121" s="2"/>
      <c r="C121" s="2"/>
      <c r="D121" s="2"/>
      <c r="E121" s="2"/>
      <c r="F121" s="2"/>
      <c r="H121" s="40"/>
    </row>
    <row r="122" spans="1:10" ht="13.8" thickBot="1" x14ac:dyDescent="0.3">
      <c r="A122" s="2"/>
      <c r="B122" s="2"/>
      <c r="C122" s="2"/>
      <c r="D122" s="2"/>
      <c r="E122" s="20" t="s">
        <v>31</v>
      </c>
      <c r="F122" s="21"/>
      <c r="H122" s="40"/>
    </row>
    <row r="123" spans="1:10" ht="13.2" thickBot="1" x14ac:dyDescent="0.25">
      <c r="E123" s="39"/>
      <c r="H123" s="40"/>
    </row>
  </sheetData>
  <mergeCells count="2">
    <mergeCell ref="A117:C117"/>
    <mergeCell ref="A119:C119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123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114:E115 D117:E119 E122">
    <cfRule type="containsText" dxfId="22" priority="1" operator="containsText" text="Religious Leave">
      <formula>NOT(ISERROR(SEARCH("Religious Leave",D114)))</formula>
    </cfRule>
    <cfRule type="containsText" dxfId="21" priority="2" operator="containsText" text="Birthday Leave">
      <formula>NOT(ISERROR(SEARCH("Birthday Leave",D114)))</formula>
    </cfRule>
    <cfRule type="containsText" dxfId="20" priority="3" operator="containsText" text="Study Leave">
      <formula>NOT(ISERROR(SEARCH("Study Leave",D114)))</formula>
    </cfRule>
    <cfRule type="containsText" dxfId="19" priority="4" operator="containsText" text="Family Responsibility Leave">
      <formula>NOT(ISERROR(SEARCH("Family Responsibility Leave",D114)))</formula>
    </cfRule>
    <cfRule type="containsText" dxfId="18" priority="5" operator="containsText" text="Sick Leave">
      <formula>NOT(ISERROR(SEARCH("Sick Leave",D114)))</formula>
    </cfRule>
    <cfRule type="containsText" dxfId="17" priority="6" operator="containsText" text="Annual Leave">
      <formula>NOT(ISERROR(SEARCH("Annual Leave",D114)))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J47:J53 I9:J46 I54:J113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375413B-0301-4C39-BE43-5A483338A0E5}">
          <x14:formula1>
            <xm:f>Key!$H$3:$H$62</xm:f>
          </x14:formula1>
          <xm:sqref>B5</xm:sqref>
        </x14:dataValidation>
        <x14:dataValidation type="list" allowBlank="1" showInputMessage="1" showErrorMessage="1" xr:uid="{330989AD-23D3-40C7-8F80-A5E41B510EE5}">
          <x14:formula1>
            <xm:f>Key!$K$3:$K$4</xm:f>
          </x14:formula1>
          <xm:sqref>F9:F113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C9:C113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E9:E113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9"/>
  <sheetViews>
    <sheetView zoomScale="75" zoomScaleNormal="75" workbookViewId="0">
      <selection activeCell="E11" sqref="E11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45717</v>
      </c>
      <c r="B9" s="31" t="s">
        <v>21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31">
        <v>45718</v>
      </c>
      <c r="B10" s="31" t="s">
        <v>22</v>
      </c>
      <c r="C10" s="32"/>
      <c r="D10" s="32"/>
      <c r="E10" s="32"/>
      <c r="F10" s="32"/>
      <c r="G10" s="33"/>
      <c r="H10" s="34">
        <f t="shared" ref="H10:H38" si="0">J10-I10</f>
        <v>0</v>
      </c>
      <c r="I10" s="35"/>
      <c r="J10" s="35"/>
    </row>
    <row r="11" spans="1:10" x14ac:dyDescent="0.2">
      <c r="A11" s="22">
        <v>45719</v>
      </c>
      <c r="B11" s="22" t="s">
        <v>23</v>
      </c>
      <c r="C11" s="27" t="s">
        <v>14</v>
      </c>
      <c r="D11" s="27" t="s">
        <v>1</v>
      </c>
      <c r="E11" s="27" t="s">
        <v>15</v>
      </c>
      <c r="F11" s="27" t="s">
        <v>16</v>
      </c>
      <c r="G11" s="28" t="s">
        <v>17</v>
      </c>
      <c r="H11" s="29">
        <f t="shared" si="0"/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45720</v>
      </c>
      <c r="B12" s="22" t="s">
        <v>13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45721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45722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45723</v>
      </c>
      <c r="B15" s="22" t="s">
        <v>20</v>
      </c>
      <c r="C15" s="27"/>
      <c r="D15" s="27"/>
      <c r="E15" s="27"/>
      <c r="F15" s="27"/>
      <c r="G15" s="28"/>
      <c r="H15" s="29">
        <f t="shared" si="0"/>
        <v>0</v>
      </c>
      <c r="I15" s="30"/>
      <c r="J15" s="30"/>
    </row>
    <row r="16" spans="1:10" x14ac:dyDescent="0.2">
      <c r="A16" s="31">
        <v>45724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31">
        <v>45725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45726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45727</v>
      </c>
      <c r="B19" s="22" t="s">
        <v>13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45728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45729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45730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45731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45732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45733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45734</v>
      </c>
      <c r="B26" s="22" t="s">
        <v>13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45735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45736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47">
        <v>45737</v>
      </c>
      <c r="B29" s="47" t="s">
        <v>20</v>
      </c>
      <c r="C29" s="48" t="s">
        <v>14</v>
      </c>
      <c r="D29" s="48"/>
      <c r="E29" s="48" t="s">
        <v>32</v>
      </c>
      <c r="F29" s="48" t="s">
        <v>33</v>
      </c>
      <c r="G29" s="49" t="s">
        <v>126</v>
      </c>
      <c r="H29" s="50">
        <f t="shared" si="0"/>
        <v>0.33333333333333331</v>
      </c>
      <c r="I29" s="51">
        <v>0.33333333333333331</v>
      </c>
      <c r="J29" s="51">
        <v>0.66666666666666663</v>
      </c>
    </row>
    <row r="30" spans="1:10" x14ac:dyDescent="0.2">
      <c r="A30" s="31">
        <v>45738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45739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45740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45741</v>
      </c>
      <c r="B33" s="22" t="s">
        <v>13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45742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45743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45744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45745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45746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x14ac:dyDescent="0.2">
      <c r="A39" s="22">
        <v>45747</v>
      </c>
      <c r="B39" s="22" t="s">
        <v>23</v>
      </c>
      <c r="C39" s="27"/>
      <c r="D39" s="27"/>
      <c r="E39" s="27"/>
      <c r="F39" s="27"/>
      <c r="G39" s="28"/>
      <c r="H39" s="29">
        <f t="shared" ref="H39" si="1">J39-I39</f>
        <v>0</v>
      </c>
      <c r="I39" s="30"/>
      <c r="J39" s="30"/>
    </row>
    <row r="40" spans="1:10" ht="13.95" customHeight="1" thickBot="1" x14ac:dyDescent="0.3">
      <c r="A40" s="46"/>
      <c r="B40" s="46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24</v>
      </c>
      <c r="F41" s="8">
        <f>F42*8</f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25</v>
      </c>
      <c r="F42" s="11">
        <v>20</v>
      </c>
      <c r="H42" s="40"/>
    </row>
    <row r="43" spans="1:10" ht="13.95" customHeight="1" thickBot="1" x14ac:dyDescent="0.3">
      <c r="A43" s="117" t="s">
        <v>26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28</v>
      </c>
      <c r="B45" s="118"/>
      <c r="C45" s="118"/>
      <c r="D45" s="16"/>
      <c r="E45" s="17" t="s">
        <v>29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30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31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 D40:E41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9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3:E45 E48">
    <cfRule type="containsText" dxfId="6" priority="1" operator="containsText" text="Religious Leave">
      <formula>NOT(ISERROR(SEARCH("Religious Leave",D43)))</formula>
    </cfRule>
    <cfRule type="containsText" dxfId="5" priority="2" operator="containsText" text="Birthday Leave">
      <formula>NOT(ISERROR(SEARCH("Birthday Leave",D43)))</formula>
    </cfRule>
    <cfRule type="containsText" dxfId="4" priority="3" operator="containsText" text="Study Leave">
      <formula>NOT(ISERROR(SEARCH("Study Leave",D43)))</formula>
    </cfRule>
    <cfRule type="containsText" dxfId="3" priority="4" operator="containsText" text="Family Responsibility Leave">
      <formula>NOT(ISERROR(SEARCH("Family Responsibility Leave",D43)))</formula>
    </cfRule>
    <cfRule type="containsText" dxfId="2" priority="5" operator="containsText" text="Sick Leave">
      <formula>NOT(ISERROR(SEARCH("Sick Leave",D43)))</formula>
    </cfRule>
    <cfRule type="containsText" dxfId="1" priority="6" operator="containsText" text="Annual Leave">
      <formula>NOT(ISERROR(SEARCH("Annual Leave",D43)))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9A6A8E-1249-4B2F-AB25-70B85A400C15}">
          <x14:formula1>
            <xm:f>Key!$K$3:$K$4</xm:f>
          </x14:formula1>
          <xm:sqref>F9:F39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C9:C39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E9:E39</xm:sqref>
        </x14:dataValidation>
        <x14:dataValidation type="list" allowBlank="1" showInputMessage="1" showErrorMessage="1" xr:uid="{5693F761-715B-45CE-AC76-906C43DF08FA}">
          <x14:formula1>
            <xm:f>Key!$H$3:$H$62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94"/>
      <c r="B1" s="94"/>
      <c r="C1" s="94"/>
      <c r="D1" s="94"/>
      <c r="E1" s="94"/>
      <c r="F1" s="94"/>
    </row>
    <row r="2" spans="1:15" x14ac:dyDescent="0.2">
      <c r="A2" s="93"/>
      <c r="B2" s="93"/>
      <c r="C2" s="98"/>
      <c r="D2" s="98"/>
      <c r="E2" s="98"/>
      <c r="F2" s="98"/>
    </row>
    <row r="3" spans="1:15" x14ac:dyDescent="0.2">
      <c r="A3" s="93"/>
      <c r="B3" s="93"/>
      <c r="C3" s="99"/>
      <c r="D3" s="99"/>
      <c r="E3" s="99"/>
      <c r="F3" s="99"/>
    </row>
    <row r="4" spans="1:15" x14ac:dyDescent="0.2">
      <c r="A4" s="93"/>
      <c r="B4" s="93"/>
      <c r="C4" s="100"/>
      <c r="D4" s="100"/>
      <c r="E4" s="100"/>
      <c r="F4" s="100"/>
    </row>
    <row r="5" spans="1:15" x14ac:dyDescent="0.2">
      <c r="A5" s="37" t="s">
        <v>0</v>
      </c>
      <c r="B5" s="23" t="s">
        <v>1</v>
      </c>
      <c r="C5" s="100"/>
      <c r="D5" s="100"/>
      <c r="E5" s="100"/>
      <c r="F5" s="100"/>
    </row>
    <row r="6" spans="1:15" x14ac:dyDescent="0.2">
      <c r="A6" s="93" t="s">
        <v>127</v>
      </c>
      <c r="B6" s="95">
        <f>F17</f>
        <v>200</v>
      </c>
      <c r="C6" s="98"/>
      <c r="D6" s="99"/>
      <c r="E6" s="99"/>
      <c r="F6" s="99"/>
    </row>
    <row r="7" spans="1:15" ht="13.5" customHeight="1" x14ac:dyDescent="0.2">
      <c r="A7" s="87"/>
      <c r="B7" s="88"/>
      <c r="C7" s="88"/>
      <c r="D7" s="99"/>
      <c r="E7" s="99"/>
      <c r="F7" s="99"/>
    </row>
    <row r="8" spans="1:15" ht="27.45" customHeight="1" x14ac:dyDescent="0.2">
      <c r="A8" s="127" t="s">
        <v>128</v>
      </c>
      <c r="B8" s="127"/>
      <c r="C8" s="127"/>
      <c r="D8" s="127"/>
      <c r="E8" s="127"/>
      <c r="F8" s="127"/>
    </row>
    <row r="9" spans="1:15" ht="13.5" customHeight="1" thickBot="1" x14ac:dyDescent="0.25">
      <c r="A9" s="96" t="s">
        <v>129</v>
      </c>
      <c r="B9" s="130" t="s">
        <v>130</v>
      </c>
      <c r="C9" s="131"/>
      <c r="D9" s="130" t="s">
        <v>131</v>
      </c>
      <c r="E9" s="131"/>
      <c r="F9" s="97" t="s">
        <v>132</v>
      </c>
    </row>
    <row r="10" spans="1:15" x14ac:dyDescent="0.2">
      <c r="A10" s="92">
        <v>45566</v>
      </c>
      <c r="B10" s="121" t="s">
        <v>133</v>
      </c>
      <c r="C10" s="121"/>
      <c r="D10" s="121" t="s">
        <v>134</v>
      </c>
      <c r="E10" s="121"/>
      <c r="F10" s="91">
        <v>200</v>
      </c>
      <c r="G10" s="128" t="s">
        <v>135</v>
      </c>
      <c r="H10" s="129"/>
      <c r="I10" s="129"/>
      <c r="J10" s="129"/>
      <c r="K10" s="129"/>
      <c r="L10" s="129"/>
      <c r="M10" s="129"/>
      <c r="N10" s="129"/>
      <c r="O10" s="129"/>
    </row>
    <row r="11" spans="1:15" x14ac:dyDescent="0.2">
      <c r="A11" s="92">
        <v>45566</v>
      </c>
      <c r="B11" s="119" t="s">
        <v>136</v>
      </c>
      <c r="C11" s="120"/>
      <c r="D11" s="121" t="s">
        <v>137</v>
      </c>
      <c r="E11" s="121"/>
      <c r="F11" s="91"/>
    </row>
    <row r="12" spans="1:15" x14ac:dyDescent="0.2">
      <c r="A12" s="92">
        <v>45566</v>
      </c>
      <c r="B12" s="119" t="s">
        <v>138</v>
      </c>
      <c r="C12" s="120"/>
      <c r="D12" s="121"/>
      <c r="E12" s="121"/>
      <c r="F12" s="91"/>
    </row>
    <row r="13" spans="1:15" x14ac:dyDescent="0.2">
      <c r="A13" s="92">
        <v>45566</v>
      </c>
      <c r="B13" s="119"/>
      <c r="C13" s="120"/>
      <c r="D13" s="121"/>
      <c r="E13" s="121"/>
      <c r="F13" s="91"/>
    </row>
    <row r="14" spans="1:15" x14ac:dyDescent="0.2">
      <c r="A14" s="92">
        <v>45566</v>
      </c>
      <c r="B14" s="119"/>
      <c r="C14" s="120"/>
      <c r="D14" s="121"/>
      <c r="E14" s="121"/>
      <c r="F14" s="91"/>
    </row>
    <row r="15" spans="1:15" x14ac:dyDescent="0.2">
      <c r="A15" s="92">
        <v>45566</v>
      </c>
      <c r="B15" s="125"/>
      <c r="C15" s="126"/>
      <c r="D15" s="121"/>
      <c r="E15" s="121"/>
      <c r="F15" s="91"/>
    </row>
    <row r="16" spans="1:15" ht="13.2" thickBot="1" x14ac:dyDescent="0.25">
      <c r="A16" s="92">
        <v>45566</v>
      </c>
      <c r="B16" s="119"/>
      <c r="C16" s="120"/>
      <c r="D16" s="121"/>
      <c r="E16" s="121"/>
      <c r="F16" s="91"/>
    </row>
    <row r="17" spans="1:6" ht="13.5" customHeight="1" thickBot="1" x14ac:dyDescent="0.25">
      <c r="A17" s="122" t="s">
        <v>139</v>
      </c>
      <c r="B17" s="123"/>
      <c r="C17" s="123"/>
      <c r="D17" s="123"/>
      <c r="E17" s="124"/>
      <c r="F17" s="90">
        <f>SUM(F10:F16)</f>
        <v>200</v>
      </c>
    </row>
    <row r="18" spans="1:6" x14ac:dyDescent="0.2">
      <c r="A18" s="87"/>
      <c r="B18" s="88"/>
      <c r="C18" s="88"/>
      <c r="D18" s="88"/>
      <c r="E18" s="89"/>
      <c r="F18" s="89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Key!$H$3:$H$62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2"/>
      <c r="B4" s="132"/>
    </row>
    <row r="5" spans="1:6" x14ac:dyDescent="0.2">
      <c r="A5" s="37" t="s">
        <v>0</v>
      </c>
      <c r="B5" s="23" t="s">
        <v>1</v>
      </c>
    </row>
    <row r="6" spans="1:6" x14ac:dyDescent="0.2">
      <c r="A6" s="93" t="s">
        <v>140</v>
      </c>
      <c r="B6" s="93"/>
    </row>
    <row r="7" spans="1:6" x14ac:dyDescent="0.2">
      <c r="A7" s="109" t="s">
        <v>141</v>
      </c>
      <c r="B7" s="109"/>
    </row>
    <row r="8" spans="1:6" x14ac:dyDescent="0.2">
      <c r="A8" s="110"/>
      <c r="B8" s="99"/>
    </row>
    <row r="9" spans="1:6" ht="27.45" customHeight="1" x14ac:dyDescent="0.2">
      <c r="A9" s="145" t="s">
        <v>142</v>
      </c>
      <c r="B9" s="145"/>
      <c r="C9" s="145"/>
      <c r="D9" s="145"/>
      <c r="E9" s="145"/>
      <c r="F9" s="145"/>
    </row>
    <row r="10" spans="1:6" ht="25.2" x14ac:dyDescent="0.2">
      <c r="A10" s="101" t="s">
        <v>143</v>
      </c>
      <c r="B10" s="101" t="s">
        <v>144</v>
      </c>
      <c r="C10" s="101" t="s">
        <v>145</v>
      </c>
      <c r="D10" s="101" t="s">
        <v>146</v>
      </c>
      <c r="E10" s="101" t="s">
        <v>147</v>
      </c>
      <c r="F10" s="101" t="s">
        <v>148</v>
      </c>
    </row>
    <row r="11" spans="1:6" x14ac:dyDescent="0.2">
      <c r="A11" s="101"/>
      <c r="B11" s="101"/>
      <c r="C11" s="101"/>
      <c r="D11" s="101"/>
      <c r="E11" s="101"/>
      <c r="F11" s="101"/>
    </row>
    <row r="12" spans="1:6" x14ac:dyDescent="0.2">
      <c r="A12" s="101"/>
      <c r="B12" s="101"/>
      <c r="C12" s="101"/>
      <c r="D12" s="101"/>
      <c r="E12" s="101"/>
      <c r="F12" s="101"/>
    </row>
    <row r="13" spans="1:6" ht="13.2" thickBot="1" x14ac:dyDescent="0.25">
      <c r="A13" s="101"/>
      <c r="B13" s="101"/>
      <c r="C13" s="101"/>
      <c r="D13" s="101"/>
      <c r="E13" s="101"/>
      <c r="F13" s="101"/>
    </row>
    <row r="14" spans="1:6" ht="13.2" thickBot="1" x14ac:dyDescent="0.25">
      <c r="A14" s="102"/>
      <c r="B14" s="103"/>
      <c r="C14" s="103"/>
      <c r="D14" s="104">
        <f>SUM(D11:D13)</f>
        <v>0</v>
      </c>
      <c r="E14" s="103"/>
      <c r="F14" s="105"/>
    </row>
    <row r="15" spans="1:6" ht="13.2" thickBot="1" x14ac:dyDescent="0.25">
      <c r="A15" s="136"/>
      <c r="B15" s="137"/>
      <c r="C15" s="137"/>
      <c r="D15" s="137"/>
      <c r="E15" s="137"/>
      <c r="F15" s="137"/>
    </row>
    <row r="16" spans="1:6" x14ac:dyDescent="0.2">
      <c r="A16" s="146" t="s">
        <v>149</v>
      </c>
      <c r="B16" s="147"/>
      <c r="C16" s="147"/>
      <c r="D16" s="147"/>
      <c r="E16" s="147"/>
      <c r="F16" s="148"/>
    </row>
    <row r="17" spans="1:6" x14ac:dyDescent="0.2">
      <c r="A17" s="133"/>
      <c r="B17" s="134"/>
      <c r="C17" s="134"/>
      <c r="D17" s="134"/>
      <c r="E17" s="134"/>
      <c r="F17" s="135"/>
    </row>
    <row r="18" spans="1:6" x14ac:dyDescent="0.2">
      <c r="A18" s="133"/>
      <c r="B18" s="134"/>
      <c r="C18" s="134"/>
      <c r="D18" s="134"/>
      <c r="E18" s="134"/>
      <c r="F18" s="135"/>
    </row>
    <row r="19" spans="1:6" ht="13.2" thickBot="1" x14ac:dyDescent="0.25">
      <c r="A19" s="136"/>
      <c r="B19" s="137"/>
      <c r="C19" s="137"/>
      <c r="D19" s="137"/>
      <c r="E19" s="137"/>
      <c r="F19" s="138"/>
    </row>
    <row r="20" spans="1:6" ht="13.2" thickBot="1" x14ac:dyDescent="0.25"/>
    <row r="21" spans="1:6" x14ac:dyDescent="0.2">
      <c r="A21" s="106" t="s">
        <v>3</v>
      </c>
      <c r="B21" s="139"/>
      <c r="C21" s="139"/>
      <c r="D21" s="139"/>
      <c r="E21" s="139"/>
      <c r="F21" s="140"/>
    </row>
    <row r="22" spans="1:6" x14ac:dyDescent="0.2">
      <c r="A22" s="107" t="s">
        <v>150</v>
      </c>
      <c r="B22" s="141"/>
      <c r="C22" s="141"/>
      <c r="D22" s="141"/>
      <c r="E22" s="141"/>
      <c r="F22" s="142"/>
    </row>
    <row r="23" spans="1:6" ht="13.2" thickBot="1" x14ac:dyDescent="0.25">
      <c r="A23" s="108" t="s">
        <v>151</v>
      </c>
      <c r="B23" s="143"/>
      <c r="C23" s="143"/>
      <c r="D23" s="143"/>
      <c r="E23" s="143"/>
      <c r="F23" s="14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Key!$H$3:$H$62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62"/>
  <sheetViews>
    <sheetView workbookViewId="0">
      <selection activeCell="H56" sqref="H56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1" ht="15" thickBot="1" x14ac:dyDescent="0.35">
      <c r="B2" s="75" t="s">
        <v>14</v>
      </c>
      <c r="D2" s="53" t="s">
        <v>152</v>
      </c>
      <c r="F2" s="52" t="s">
        <v>7</v>
      </c>
      <c r="H2" s="52" t="s">
        <v>153</v>
      </c>
      <c r="K2" s="53" t="s">
        <v>16</v>
      </c>
    </row>
    <row r="3" spans="2:11" x14ac:dyDescent="0.3">
      <c r="B3" s="75" t="s">
        <v>154</v>
      </c>
      <c r="D3" s="85" t="s">
        <v>155</v>
      </c>
      <c r="F3" s="55" t="s">
        <v>15</v>
      </c>
      <c r="H3" s="76" t="s">
        <v>156</v>
      </c>
      <c r="K3" s="56" t="s">
        <v>33</v>
      </c>
    </row>
    <row r="4" spans="2:11" x14ac:dyDescent="0.3">
      <c r="B4" s="75" t="s">
        <v>157</v>
      </c>
      <c r="D4" s="54" t="s">
        <v>158</v>
      </c>
      <c r="F4" s="57" t="s">
        <v>159</v>
      </c>
      <c r="H4" s="77" t="s">
        <v>160</v>
      </c>
      <c r="K4" s="58" t="s">
        <v>16</v>
      </c>
    </row>
    <row r="5" spans="2:11" x14ac:dyDescent="0.3">
      <c r="B5" s="75" t="s">
        <v>161</v>
      </c>
      <c r="D5" s="85" t="s">
        <v>162</v>
      </c>
      <c r="F5" s="59" t="s">
        <v>163</v>
      </c>
      <c r="H5" s="78" t="s">
        <v>164</v>
      </c>
    </row>
    <row r="6" spans="2:11" x14ac:dyDescent="0.3">
      <c r="B6" s="75" t="s">
        <v>165</v>
      </c>
      <c r="D6" s="54" t="s">
        <v>166</v>
      </c>
      <c r="F6" s="57" t="s">
        <v>167</v>
      </c>
      <c r="H6" s="77" t="s">
        <v>168</v>
      </c>
    </row>
    <row r="7" spans="2:11" x14ac:dyDescent="0.3">
      <c r="B7" s="75" t="s">
        <v>169</v>
      </c>
      <c r="D7" s="85" t="s">
        <v>170</v>
      </c>
      <c r="F7" s="59" t="s">
        <v>40</v>
      </c>
      <c r="H7" s="76" t="s">
        <v>171</v>
      </c>
    </row>
    <row r="8" spans="2:11" x14ac:dyDescent="0.3">
      <c r="B8" s="75" t="s">
        <v>172</v>
      </c>
      <c r="D8" s="54" t="s">
        <v>173</v>
      </c>
      <c r="F8" s="57" t="s">
        <v>174</v>
      </c>
      <c r="H8" s="76" t="s">
        <v>175</v>
      </c>
      <c r="K8" s="52" t="s">
        <v>176</v>
      </c>
    </row>
    <row r="9" spans="2:11" x14ac:dyDescent="0.3">
      <c r="B9" s="75" t="s">
        <v>177</v>
      </c>
      <c r="D9" s="85" t="s">
        <v>178</v>
      </c>
      <c r="F9" s="59" t="s">
        <v>179</v>
      </c>
      <c r="H9" s="76" t="s">
        <v>180</v>
      </c>
      <c r="K9" s="52" t="s">
        <v>134</v>
      </c>
    </row>
    <row r="10" spans="2:11" x14ac:dyDescent="0.3">
      <c r="B10" s="75" t="s">
        <v>181</v>
      </c>
      <c r="D10" s="54" t="s">
        <v>182</v>
      </c>
      <c r="F10" s="57" t="s">
        <v>183</v>
      </c>
      <c r="H10" s="77" t="s">
        <v>184</v>
      </c>
    </row>
    <row r="11" spans="2:11" x14ac:dyDescent="0.3">
      <c r="B11" s="75" t="s">
        <v>185</v>
      </c>
      <c r="D11" s="85" t="s">
        <v>186</v>
      </c>
      <c r="F11" s="59" t="s">
        <v>187</v>
      </c>
      <c r="H11" s="77" t="s">
        <v>188</v>
      </c>
      <c r="K11" s="52" t="s">
        <v>189</v>
      </c>
    </row>
    <row r="12" spans="2:11" x14ac:dyDescent="0.3">
      <c r="B12" s="75" t="s">
        <v>190</v>
      </c>
      <c r="F12" s="57" t="s">
        <v>191</v>
      </c>
      <c r="H12" s="76" t="s">
        <v>192</v>
      </c>
      <c r="K12" s="52" t="s">
        <v>193</v>
      </c>
    </row>
    <row r="13" spans="2:11" x14ac:dyDescent="0.3">
      <c r="B13" s="75" t="s">
        <v>194</v>
      </c>
      <c r="F13" s="59" t="s">
        <v>195</v>
      </c>
      <c r="H13" s="79" t="s">
        <v>196</v>
      </c>
    </row>
    <row r="14" spans="2:11" x14ac:dyDescent="0.3">
      <c r="B14" s="75" t="s">
        <v>197</v>
      </c>
      <c r="D14" s="60"/>
      <c r="F14" s="57" t="s">
        <v>103</v>
      </c>
      <c r="H14" s="80" t="s">
        <v>198</v>
      </c>
    </row>
    <row r="15" spans="2:11" x14ac:dyDescent="0.3">
      <c r="B15" s="75" t="s">
        <v>199</v>
      </c>
      <c r="D15" s="61"/>
      <c r="F15" s="59" t="s">
        <v>200</v>
      </c>
      <c r="H15" s="80" t="s">
        <v>201</v>
      </c>
    </row>
    <row r="16" spans="2:11" x14ac:dyDescent="0.3">
      <c r="B16" s="75" t="s">
        <v>202</v>
      </c>
      <c r="D16" s="61"/>
      <c r="F16" s="57" t="s">
        <v>203</v>
      </c>
      <c r="H16" s="80" t="s">
        <v>204</v>
      </c>
    </row>
    <row r="17" spans="2:8" ht="27.6" x14ac:dyDescent="0.3">
      <c r="B17" s="75" t="s">
        <v>205</v>
      </c>
      <c r="D17" s="61"/>
      <c r="F17" s="59" t="s">
        <v>206</v>
      </c>
      <c r="H17" s="80" t="s">
        <v>207</v>
      </c>
    </row>
    <row r="18" spans="2:8" x14ac:dyDescent="0.3">
      <c r="B18" s="75" t="s">
        <v>208</v>
      </c>
      <c r="D18" s="61"/>
      <c r="F18" s="57" t="s">
        <v>52</v>
      </c>
      <c r="H18" s="79" t="s">
        <v>209</v>
      </c>
    </row>
    <row r="19" spans="2:8" x14ac:dyDescent="0.3">
      <c r="B19" s="75" t="s">
        <v>210</v>
      </c>
      <c r="D19" s="61"/>
      <c r="F19" s="59" t="s">
        <v>44</v>
      </c>
      <c r="H19" s="80" t="s">
        <v>211</v>
      </c>
    </row>
    <row r="20" spans="2:8" x14ac:dyDescent="0.3">
      <c r="B20" s="75" t="s">
        <v>212</v>
      </c>
      <c r="D20" s="61"/>
      <c r="F20" s="57" t="s">
        <v>213</v>
      </c>
      <c r="H20" s="79" t="s">
        <v>214</v>
      </c>
    </row>
    <row r="21" spans="2:8" x14ac:dyDescent="0.3">
      <c r="B21" s="75" t="s">
        <v>215</v>
      </c>
      <c r="D21" s="61"/>
      <c r="F21" s="59" t="s">
        <v>55</v>
      </c>
      <c r="H21" s="79" t="s">
        <v>216</v>
      </c>
    </row>
    <row r="22" spans="2:8" x14ac:dyDescent="0.3">
      <c r="B22" s="75" t="s">
        <v>217</v>
      </c>
      <c r="D22" s="61"/>
      <c r="F22" s="57" t="s">
        <v>46</v>
      </c>
      <c r="H22" s="79" t="s">
        <v>218</v>
      </c>
    </row>
    <row r="23" spans="2:8" x14ac:dyDescent="0.3">
      <c r="B23" s="75" t="s">
        <v>219</v>
      </c>
      <c r="D23" s="61"/>
      <c r="F23" s="59" t="s">
        <v>220</v>
      </c>
      <c r="H23" s="77" t="s">
        <v>221</v>
      </c>
    </row>
    <row r="24" spans="2:8" x14ac:dyDescent="0.3">
      <c r="B24" s="75" t="s">
        <v>222</v>
      </c>
      <c r="D24" s="61"/>
      <c r="F24" s="57" t="s">
        <v>58</v>
      </c>
      <c r="H24" s="79" t="s">
        <v>223</v>
      </c>
    </row>
    <row r="25" spans="2:8" x14ac:dyDescent="0.3">
      <c r="B25" s="75" t="s">
        <v>224</v>
      </c>
      <c r="D25" s="61"/>
      <c r="F25" s="59" t="s">
        <v>225</v>
      </c>
      <c r="H25" s="81" t="s">
        <v>226</v>
      </c>
    </row>
    <row r="26" spans="2:8" x14ac:dyDescent="0.3">
      <c r="B26" s="75" t="s">
        <v>227</v>
      </c>
      <c r="F26" s="57" t="s">
        <v>228</v>
      </c>
      <c r="H26" s="82" t="s">
        <v>229</v>
      </c>
    </row>
    <row r="27" spans="2:8" x14ac:dyDescent="0.3">
      <c r="B27" s="75" t="s">
        <v>230</v>
      </c>
      <c r="D27" s="61"/>
      <c r="F27" s="59" t="s">
        <v>231</v>
      </c>
      <c r="H27" s="83" t="s">
        <v>232</v>
      </c>
    </row>
    <row r="28" spans="2:8" x14ac:dyDescent="0.3">
      <c r="B28" s="75" t="s">
        <v>233</v>
      </c>
      <c r="D28" s="61"/>
      <c r="F28" s="57" t="s">
        <v>234</v>
      </c>
      <c r="H28" s="82" t="s">
        <v>235</v>
      </c>
    </row>
    <row r="29" spans="2:8" x14ac:dyDescent="0.3">
      <c r="B29" s="75" t="s">
        <v>236</v>
      </c>
      <c r="F29" s="59" t="s">
        <v>237</v>
      </c>
      <c r="H29" s="84" t="s">
        <v>238</v>
      </c>
    </row>
    <row r="30" spans="2:8" x14ac:dyDescent="0.3">
      <c r="B30" s="75" t="s">
        <v>239</v>
      </c>
      <c r="F30" s="57" t="s">
        <v>240</v>
      </c>
      <c r="H30" s="83" t="s">
        <v>241</v>
      </c>
    </row>
    <row r="31" spans="2:8" x14ac:dyDescent="0.3">
      <c r="B31" s="75" t="s">
        <v>242</v>
      </c>
      <c r="F31" s="59" t="s">
        <v>243</v>
      </c>
      <c r="H31" s="83" t="s">
        <v>244</v>
      </c>
    </row>
    <row r="32" spans="2:8" x14ac:dyDescent="0.3">
      <c r="B32" s="75" t="s">
        <v>245</v>
      </c>
      <c r="F32" s="57" t="s">
        <v>246</v>
      </c>
      <c r="H32" s="83" t="s">
        <v>247</v>
      </c>
    </row>
    <row r="33" spans="2:8" x14ac:dyDescent="0.3">
      <c r="B33" s="75" t="s">
        <v>248</v>
      </c>
      <c r="F33" s="59" t="s">
        <v>249</v>
      </c>
      <c r="H33" s="83" t="s">
        <v>250</v>
      </c>
    </row>
    <row r="34" spans="2:8" x14ac:dyDescent="0.3">
      <c r="B34" s="75" t="s">
        <v>251</v>
      </c>
      <c r="F34" s="57" t="s">
        <v>252</v>
      </c>
      <c r="H34" s="83" t="s">
        <v>253</v>
      </c>
    </row>
    <row r="35" spans="2:8" x14ac:dyDescent="0.3">
      <c r="B35" s="75" t="s">
        <v>254</v>
      </c>
      <c r="F35" s="59" t="s">
        <v>255</v>
      </c>
      <c r="H35" s="83" t="s">
        <v>256</v>
      </c>
    </row>
    <row r="36" spans="2:8" x14ac:dyDescent="0.3">
      <c r="B36" s="75" t="s">
        <v>257</v>
      </c>
      <c r="F36" s="57" t="s">
        <v>258</v>
      </c>
      <c r="H36" s="83" t="s">
        <v>259</v>
      </c>
    </row>
    <row r="37" spans="2:8" x14ac:dyDescent="0.3">
      <c r="B37" s="75" t="s">
        <v>260</v>
      </c>
      <c r="F37" s="57" t="s">
        <v>261</v>
      </c>
      <c r="H37" s="83" t="s">
        <v>262</v>
      </c>
    </row>
    <row r="38" spans="2:8" x14ac:dyDescent="0.3">
      <c r="B38" s="75" t="s">
        <v>263</v>
      </c>
      <c r="F38" s="57" t="s">
        <v>32</v>
      </c>
      <c r="H38" s="83" t="s">
        <v>264</v>
      </c>
    </row>
    <row r="39" spans="2:8" x14ac:dyDescent="0.3">
      <c r="B39" s="75" t="s">
        <v>265</v>
      </c>
      <c r="F39" s="57" t="s">
        <v>266</v>
      </c>
      <c r="H39" s="83" t="s">
        <v>267</v>
      </c>
    </row>
    <row r="40" spans="2:8" x14ac:dyDescent="0.3">
      <c r="B40" s="75" t="s">
        <v>268</v>
      </c>
      <c r="H40" s="83" t="s">
        <v>269</v>
      </c>
    </row>
    <row r="41" spans="2:8" x14ac:dyDescent="0.3">
      <c r="B41" s="64"/>
      <c r="D41" s="65"/>
      <c r="H41" s="76" t="s">
        <v>270</v>
      </c>
    </row>
    <row r="42" spans="2:8" x14ac:dyDescent="0.3">
      <c r="B42" s="62"/>
      <c r="H42" s="83" t="s">
        <v>271</v>
      </c>
    </row>
    <row r="43" spans="2:8" x14ac:dyDescent="0.3">
      <c r="H43" s="82" t="s">
        <v>272</v>
      </c>
    </row>
    <row r="44" spans="2:8" x14ac:dyDescent="0.3">
      <c r="B44" s="63"/>
      <c r="H44" s="83" t="s">
        <v>273</v>
      </c>
    </row>
    <row r="45" spans="2:8" x14ac:dyDescent="0.3">
      <c r="H45" s="83" t="s">
        <v>274</v>
      </c>
    </row>
    <row r="46" spans="2:8" x14ac:dyDescent="0.3">
      <c r="H46" s="83" t="s">
        <v>275</v>
      </c>
    </row>
    <row r="47" spans="2:8" x14ac:dyDescent="0.3">
      <c r="B47" s="63"/>
      <c r="H47" s="83" t="s">
        <v>276</v>
      </c>
    </row>
    <row r="48" spans="2:8" x14ac:dyDescent="0.3">
      <c r="H48" s="82" t="s">
        <v>277</v>
      </c>
    </row>
    <row r="49" spans="8:8" x14ac:dyDescent="0.3">
      <c r="H49" s="82" t="s">
        <v>278</v>
      </c>
    </row>
    <row r="50" spans="8:8" x14ac:dyDescent="0.3">
      <c r="H50" s="82" t="s">
        <v>279</v>
      </c>
    </row>
    <row r="51" spans="8:8" x14ac:dyDescent="0.3">
      <c r="H51" s="82" t="s">
        <v>280</v>
      </c>
    </row>
    <row r="52" spans="8:8" x14ac:dyDescent="0.3">
      <c r="H52" s="67" t="s">
        <v>281</v>
      </c>
    </row>
    <row r="53" spans="8:8" x14ac:dyDescent="0.3">
      <c r="H53" s="66" t="s">
        <v>282</v>
      </c>
    </row>
    <row r="54" spans="8:8" x14ac:dyDescent="0.3">
      <c r="H54" s="67" t="s">
        <v>1</v>
      </c>
    </row>
    <row r="55" spans="8:8" ht="15" thickBot="1" x14ac:dyDescent="0.35">
      <c r="H55" s="68" t="s">
        <v>283</v>
      </c>
    </row>
    <row r="56" spans="8:8" ht="15" thickBot="1" x14ac:dyDescent="0.35">
      <c r="H56" s="72" t="s">
        <v>38</v>
      </c>
    </row>
    <row r="57" spans="8:8" ht="15" thickBot="1" x14ac:dyDescent="0.35">
      <c r="H57" s="72"/>
    </row>
    <row r="58" spans="8:8" ht="15" thickBot="1" x14ac:dyDescent="0.35">
      <c r="H58" s="69"/>
    </row>
    <row r="59" spans="8:8" ht="15" thickBot="1" x14ac:dyDescent="0.35">
      <c r="H59" s="69"/>
    </row>
    <row r="60" spans="8:8" ht="15" thickBot="1" x14ac:dyDescent="0.35">
      <c r="H60" s="70"/>
    </row>
    <row r="61" spans="8:8" ht="15" thickBot="1" x14ac:dyDescent="0.35">
      <c r="H61" s="71"/>
    </row>
    <row r="62" spans="8:8" ht="15" thickBot="1" x14ac:dyDescent="0.35">
      <c r="H62" s="69"/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Props1.xml><?xml version="1.0" encoding="utf-8"?>
<ds:datastoreItem xmlns:ds="http://schemas.openxmlformats.org/officeDocument/2006/customXml" ds:itemID="{38498CE4-3C22-4E12-BC06-D3ECFC7EFC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9A04E7-D608-4F2D-BC38-372771BF4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52193-80F0-411E-AAE9-104BAFA8E38F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Neo Motaung</cp:lastModifiedBy>
  <cp:revision/>
  <dcterms:created xsi:type="dcterms:W3CDTF">2020-04-02T09:04:10Z</dcterms:created>
  <dcterms:modified xsi:type="dcterms:W3CDTF">2025-06-05T05:52:07Z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
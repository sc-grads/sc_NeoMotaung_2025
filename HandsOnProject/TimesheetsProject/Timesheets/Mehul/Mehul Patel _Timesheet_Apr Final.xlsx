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northerndata-my.sharepoint.com/personal/neo_motaung_sambeconsulting_com/Documents/Documents/Timesheets/Mehul/"/>
    </mc:Choice>
  </mc:AlternateContent>
  <xr:revisionPtr revIDLastSave="1074" documentId="11_D0171664CDBAE78E9A8682CD1E4E9B6A27721639" xr6:coauthVersionLast="47" xr6:coauthVersionMax="47" xr10:uidLastSave="{7976508A-D790-4886-B44C-09250DC78BD0}"/>
  <bookViews>
    <workbookView xWindow="-108" yWindow="-108" windowWidth="23256" windowHeight="12456" xr2:uid="{00000000-000D-0000-FFFF-FFFF00000000}"/>
  </bookViews>
  <sheets>
    <sheet name="Apr" sheetId="1" r:id="rId1"/>
    <sheet name="May" sheetId="2" r:id="rId2"/>
    <sheet name="Jun" sheetId="3" r:id="rId3"/>
    <sheet name="Jul" sheetId="4" r:id="rId4"/>
    <sheet name="Aug" sheetId="5" r:id="rId5"/>
    <sheet name="Sep" sheetId="6" r:id="rId6"/>
    <sheet name="Expense Claim" sheetId="7" r:id="rId7"/>
    <sheet name="Leave" sheetId="8" r:id="rId8"/>
    <sheet name="Key" sheetId="9" r:id="rId9"/>
  </sheets>
  <definedNames>
    <definedName name="Time">Apr!$A$8:$J$146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YlPfkCpeXdqK5KTb2VFpp7fBACULuKvLiM4pxQeADSA="/>
    </ext>
  </extLst>
</workbook>
</file>

<file path=xl/calcChain.xml><?xml version="1.0" encoding="utf-8"?>
<calcChain xmlns="http://schemas.openxmlformats.org/spreadsheetml/2006/main">
  <c r="H146" i="1" l="1"/>
  <c r="H144" i="1"/>
  <c r="H145" i="1"/>
  <c r="H142" i="1"/>
  <c r="H139" i="1"/>
  <c r="H140" i="1"/>
  <c r="H141" i="1"/>
  <c r="H143" i="1"/>
  <c r="H138" i="1"/>
  <c r="H137" i="1"/>
  <c r="H133" i="1"/>
  <c r="H134" i="1"/>
  <c r="H135" i="1"/>
  <c r="H136" i="1"/>
  <c r="H132" i="1"/>
  <c r="H122" i="1"/>
  <c r="H123" i="1"/>
  <c r="H124" i="1"/>
  <c r="H125" i="1"/>
  <c r="H126" i="1"/>
  <c r="H127" i="1"/>
  <c r="H116" i="1"/>
  <c r="H117" i="1"/>
  <c r="H118" i="1"/>
  <c r="H119" i="1"/>
  <c r="H120" i="1"/>
  <c r="H121" i="1"/>
  <c r="H115" i="1"/>
  <c r="H114" i="1"/>
  <c r="H113" i="1"/>
  <c r="H112" i="1"/>
  <c r="H105" i="1"/>
  <c r="H106" i="1"/>
  <c r="H107" i="1"/>
  <c r="H108" i="1"/>
  <c r="H109" i="1"/>
  <c r="H110" i="1"/>
  <c r="H104" i="1"/>
  <c r="H103" i="1"/>
  <c r="H102" i="1"/>
  <c r="H101" i="1"/>
  <c r="H100" i="1"/>
  <c r="H98" i="1"/>
  <c r="H96" i="1"/>
  <c r="H97" i="1"/>
  <c r="H99" i="1"/>
  <c r="H90" i="1"/>
  <c r="H89" i="1"/>
  <c r="H88" i="1"/>
  <c r="H87" i="1"/>
  <c r="H83" i="1"/>
  <c r="H84" i="1"/>
  <c r="H85" i="1"/>
  <c r="H86" i="1"/>
  <c r="H82" i="1"/>
  <c r="H81" i="1"/>
  <c r="H80" i="1"/>
  <c r="H78" i="1"/>
  <c r="H79" i="1"/>
  <c r="H74" i="1"/>
  <c r="H75" i="1"/>
  <c r="H76" i="1"/>
  <c r="H77" i="1"/>
  <c r="H73" i="1"/>
  <c r="H72" i="1"/>
  <c r="H70" i="1"/>
  <c r="H71" i="1"/>
  <c r="H64" i="1"/>
  <c r="H65" i="1"/>
  <c r="H66" i="1"/>
  <c r="H67" i="1"/>
  <c r="H68" i="1"/>
  <c r="H69" i="1"/>
  <c r="H62" i="1"/>
  <c r="H60" i="1"/>
  <c r="H59" i="1"/>
  <c r="H56" i="1"/>
  <c r="H57" i="1"/>
  <c r="H58" i="1"/>
  <c r="H61" i="1"/>
  <c r="H55" i="1"/>
  <c r="H50" i="1"/>
  <c r="H51" i="1"/>
  <c r="H49" i="1"/>
  <c r="H48" i="1"/>
  <c r="H94" i="1"/>
  <c r="H47" i="1"/>
  <c r="H46" i="1"/>
  <c r="H45" i="1"/>
  <c r="H44" i="1"/>
  <c r="H43" i="1"/>
  <c r="H42" i="1"/>
  <c r="H41" i="1"/>
  <c r="H36" i="1"/>
  <c r="H37" i="1"/>
  <c r="H38" i="1"/>
  <c r="H39" i="1"/>
  <c r="H40" i="1"/>
  <c r="H34" i="1"/>
  <c r="H33" i="1"/>
  <c r="H31" i="1"/>
  <c r="H29" i="1"/>
  <c r="H30" i="1"/>
  <c r="H32" i="1"/>
  <c r="H26" i="1"/>
  <c r="D14" i="8"/>
  <c r="F17" i="7"/>
  <c r="B6" i="7"/>
  <c r="F44" i="6"/>
  <c r="F43" i="6"/>
  <c r="F45" i="6" s="1"/>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F45"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F44" i="5" s="1"/>
  <c r="F45" i="4"/>
  <c r="F44" i="4"/>
  <c r="F46" i="4" s="1"/>
  <c r="H39" i="4"/>
  <c r="H3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F44" i="3"/>
  <c r="F43" i="3"/>
  <c r="B6" i="3" s="1"/>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F44" i="2"/>
  <c r="B6" i="2" s="1"/>
  <c r="F41"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F45" i="2" s="1"/>
  <c r="H131" i="1"/>
  <c r="H130" i="1"/>
  <c r="H129" i="1"/>
  <c r="H128" i="1"/>
  <c r="H111" i="1"/>
  <c r="H95" i="1"/>
  <c r="H93" i="1"/>
  <c r="H92" i="1"/>
  <c r="H91" i="1"/>
  <c r="H63" i="1"/>
  <c r="H54" i="1"/>
  <c r="H53" i="1"/>
  <c r="H52" i="1"/>
  <c r="H35" i="1"/>
  <c r="H28" i="1"/>
  <c r="H27" i="1"/>
  <c r="H25" i="1"/>
  <c r="H24" i="1"/>
  <c r="H23" i="1"/>
  <c r="H22" i="1"/>
  <c r="H21" i="1"/>
  <c r="H20" i="1"/>
  <c r="H19" i="1"/>
  <c r="H18" i="1"/>
  <c r="H17" i="1"/>
  <c r="H16" i="1"/>
  <c r="H15" i="1"/>
  <c r="H14" i="1"/>
  <c r="H13" i="1"/>
  <c r="H12" i="1"/>
  <c r="H11" i="1"/>
  <c r="H10" i="1"/>
  <c r="H9" i="1"/>
  <c r="F151" i="1" l="1"/>
  <c r="B6" i="1" s="1"/>
  <c r="F152" i="1"/>
  <c r="B6" i="5"/>
  <c r="F46" i="5"/>
  <c r="F46" i="2"/>
  <c r="B6" i="6"/>
  <c r="F45" i="3"/>
  <c r="B6" i="4"/>
  <c r="F153" i="1" l="1"/>
</calcChain>
</file>

<file path=xl/sharedStrings.xml><?xml version="1.0" encoding="utf-8"?>
<sst xmlns="http://schemas.openxmlformats.org/spreadsheetml/2006/main" count="1283" uniqueCount="347">
  <si>
    <t>Consultant</t>
  </si>
  <si>
    <t>Mehul</t>
  </si>
  <si>
    <t>Total Billable Hours</t>
  </si>
  <si>
    <t>Date</t>
  </si>
  <si>
    <t>D of Week</t>
  </si>
  <si>
    <t>Client</t>
  </si>
  <si>
    <t>Client Project Name</t>
  </si>
  <si>
    <t>Description</t>
  </si>
  <si>
    <t>Billable or Non Billable</t>
  </si>
  <si>
    <t>Comments</t>
  </si>
  <si>
    <t>Total Hours</t>
  </si>
  <si>
    <t>Start Time</t>
  </si>
  <si>
    <t>End Time</t>
  </si>
  <si>
    <t>Tuesday</t>
  </si>
  <si>
    <t>Dentons</t>
  </si>
  <si>
    <t>Example</t>
  </si>
  <si>
    <t>.NET code</t>
  </si>
  <si>
    <t>Billable</t>
  </si>
  <si>
    <t>Met with Norman and Ahsnee discussed Xyand Z did the following….</t>
  </si>
  <si>
    <t>Wednesday</t>
  </si>
  <si>
    <t>Thursday</t>
  </si>
  <si>
    <t>Friday</t>
  </si>
  <si>
    <t>Saturday</t>
  </si>
  <si>
    <t>Sunday</t>
  </si>
  <si>
    <t>Monday</t>
  </si>
  <si>
    <t>Internal Sambe</t>
  </si>
  <si>
    <t>Graduate Program</t>
  </si>
  <si>
    <t>Meeting</t>
  </si>
  <si>
    <t>Non-Billable</t>
  </si>
  <si>
    <t xml:space="preserve">Met with Angela for onboarding-did timesheet presentation, onboarding documents. </t>
  </si>
  <si>
    <t>Met with the team where we introduced ourselves. We spoke about blocks that we have encountered.</t>
  </si>
  <si>
    <t>Admin</t>
  </si>
  <si>
    <t>Started to fill in the Sambe CV as well as the "Employee personal detail and employment registeration form" that were given by Angela.</t>
  </si>
  <si>
    <t>Met with Clement where he took us through various different platforms that we will be using. We were given various topics to research such as documentation,project management and project management framework.</t>
  </si>
  <si>
    <t>Research</t>
  </si>
  <si>
    <t>Did research where I researched what confluence and Jira are as well as the four key concepts of Jira. Completed the Sambe CV as well as the "Employee personal detail and employment registeration form".</t>
  </si>
  <si>
    <t>Met with the team where several members presented their presentations with their accountability parterners. The presentaions involved SQL.</t>
  </si>
  <si>
    <t>Met with the team for a progress report where team members informed Clement where each of them are in two courses ("soft skills:the 11 essential career soft skills" course and the "automation" course)</t>
  </si>
  <si>
    <t>Logged into Udemy to see the courses that needs to be done. Continued reseraching the concepts that Clement gave where I focused on the scrum and kanban and found the key differences between each of the two topics. Received help From Keegan where office 365 was installed as well as teams.</t>
  </si>
  <si>
    <t>Daily High Performers meeting with the team where I introduced myself to Bongani. We had a discussion about certain sections in the Udemy course called "Soft Skills:The 11 Essential Career Soft Skills" where each member had a chance to say what they learnt from each of the sections discussed. We spoke a about the Atomic Habits book.</t>
  </si>
  <si>
    <t>Daily stand up meeting with the team</t>
  </si>
  <si>
    <t>Reviewed my notes from the previous day.</t>
  </si>
  <si>
    <t>Meeting with Clement,Evashan,Tendo where Clement took us through Jira and explained how we must create our tasks.</t>
  </si>
  <si>
    <t>Teams call with Katalika where we discussed what was said in the meeting before.</t>
  </si>
  <si>
    <t>Meeting with Shaila, Angela and team where Shaila presented The Data Lifecyle. We were given a group presentation to do where we each have to prepare a slide on the data management life cycle and present it to Shaila in a weeks time.</t>
  </si>
  <si>
    <t>Had a teams call with Katalika,Evashan and Tendo.</t>
  </si>
  <si>
    <t>Had a teams call with Clement and the team. Had a team call after with the NINES team where I introduced myself to the team and we discussed what topics we are comfortable doing for the presentation that Shaila gave us.</t>
  </si>
  <si>
    <t>Researched about some of the topics to see which topic I wanted to present in the presentation. Had a progress report meeting with the team and started section 1 of the Microsoft SQL Server Database Administration Course.</t>
  </si>
  <si>
    <t>Training</t>
  </si>
  <si>
    <t>Completed section 1 of the Microsoft SQL Server Database Administration Course.</t>
  </si>
  <si>
    <t>Meeting with the team where we had a discussion about certain sections in the Udemy course called "Soft Skills:The 11 Essential Career Soft Skills" where each member had a chance to say what they learnt from each of the sections discussed. Clement and Bongani discussed the different tracks that are availabe and told each member which track they belonged to. They also spoke about how our leave works.</t>
  </si>
  <si>
    <t>Daily stand up meeting with the team as well as Angela. Angela spoke to the team members saying that they are going to have a meeting on Tuesday and each member must have their ID documents with them during the meeting.</t>
  </si>
  <si>
    <t>Started the Soft Skills:The 11 Essential Career Soft Skills course and logged into Jira and started my project board.</t>
  </si>
  <si>
    <t>Had a meeting with Katalika where I helped her with her board. We completed our project boards and did our sprints.</t>
  </si>
  <si>
    <t>Had a progress report meeting with the team,where members informed Clement where each of them are in two courses ("soft skills:the 11 essential career soft skills" course and the "automation" course). Clement explained to us that we need to do documentation.</t>
  </si>
  <si>
    <t>Continued with the Soft Skills:The 11 Essential Career Soft Skills course</t>
  </si>
  <si>
    <t>Completed section 1 of the Soft Skills:The 11 Essential Career Soft Skills course</t>
  </si>
  <si>
    <t>Had a meeting with the NINES team where we spoke about which topics everyone is going to present and we decided that we should be done with each of our slides by Monday.</t>
  </si>
  <si>
    <t>Downloaded the necessary applications needed. Did research for the presentation and started filling in my timesheet.</t>
  </si>
  <si>
    <t>Meeting where we had a discussion about certain sections in the Udemy course called "automation" where each member had a chance to say what they learnt from each of the sections discussed. Bongani presented the team with a new project where they need to code an appliction that is due in two weeks.</t>
  </si>
  <si>
    <t>Finished my timesheet.</t>
  </si>
  <si>
    <t>Did research on documentation and started section two of the soft skills course.</t>
  </si>
  <si>
    <t>Progress report meeting with the team where we told about the tracks. Clement told Katalika and I that we should continue with our research.</t>
  </si>
  <si>
    <t>Meeting with Katalika discussing the SQL course.</t>
  </si>
  <si>
    <t>Getting assistance from Katalika about confluence and how to use it.</t>
  </si>
  <si>
    <t>Documented project management and documentation on confluence. Did research on the presentation and continued with section two of the soft skills course.</t>
  </si>
  <si>
    <t>Meeting with the team and we discussed Atomic Habits chatper 1.</t>
  </si>
  <si>
    <t>:</t>
  </si>
  <si>
    <t>Daily stand up meeting with the team where we spoke about any blockers that we have encountered and where we were given tasks for the week</t>
  </si>
  <si>
    <t>Other</t>
  </si>
  <si>
    <t>Clement instructed us to go on a mental health walk.</t>
  </si>
  <si>
    <t>Completed section 2 of the Microsoft SQL Server Database Administration Course and started section 3.</t>
  </si>
  <si>
    <t>Did research on master data and meta data for the presentation.</t>
  </si>
  <si>
    <t>Progress report meeting with Clement and Katalika where we discussed how far we are with the course. Clement showed us Github and taught us how to create a repository.</t>
  </si>
  <si>
    <t>Completed section 3 of the Microsoft SQL Server Database Administration Course.</t>
  </si>
  <si>
    <t>Metting with the NINES team where we all presented our presentations and each of us gave feedback on them.</t>
  </si>
  <si>
    <t>Edited my presentation.</t>
  </si>
  <si>
    <t>Daily high Performers meeting with the team where we discussed various sections in the power automate course.</t>
  </si>
  <si>
    <t>Daily stand up meeting with the team where we spoke about any blockers. Clement, Katalika and I did a private call after where we told Clement what we are going to do for the day.</t>
  </si>
  <si>
    <t>Started section 4 of the Microsoft SQL Server Database Administration Course.</t>
  </si>
  <si>
    <t>Meeting with Clement and Katalika where we recapped the process of using Git Bash.</t>
  </si>
  <si>
    <t>Continued with section 4 of the Microsoft SQL Server Database Administration Course and completed my presentation slide.</t>
  </si>
  <si>
    <t>Progress report meeting with Clement and the team</t>
  </si>
  <si>
    <t>Did some research about Github and started setting up my repository on Github.</t>
  </si>
  <si>
    <t>Meeting with the NINES team where we all presented our final presenations and did last minute editing.</t>
  </si>
  <si>
    <t>Started my timesheet.</t>
  </si>
  <si>
    <t>Meeting with Bongani and Katalika where Bongani checked if we were up to date with the course.</t>
  </si>
  <si>
    <t>Did research on version control.</t>
  </si>
  <si>
    <t>Daily stand up meeting where Clement,Katalika and I. We spoke about what topics Bongani gave us to research.</t>
  </si>
  <si>
    <t>Did research on structured data vs unstructured data and carried on with creating my repository.</t>
  </si>
  <si>
    <t>Meeting with the NINES team where we edited our table of contents an did some last minute changes.</t>
  </si>
  <si>
    <t>Meeting with Shaila and Angela where we discussed the Application Development Life Cycle</t>
  </si>
  <si>
    <t>Did research on SQL and NoSQL</t>
  </si>
  <si>
    <t>Meeting with Katalika where she helped me with my first script.</t>
  </si>
  <si>
    <t>Meeting with the NINES team where we practised our presentations</t>
  </si>
  <si>
    <t>Completed research on SQL and NoSQL as well as structured data/databases and unstructered data/databases</t>
  </si>
  <si>
    <t>Had a meeting with Bongani and Katalika where we went through our research that we have done</t>
  </si>
  <si>
    <t>Researched about different types of version control systems.</t>
  </si>
  <si>
    <t>Daily stand up meeting with the team where we discussed if we have any blockers.</t>
  </si>
  <si>
    <t>Researched the different types of documentation and started researching on how jira works for project management.</t>
  </si>
  <si>
    <t>Meeting with NINES team and Clement, where we presented our presentation and feedback was given on where we can improve.</t>
  </si>
  <si>
    <t>Did researche about Jira and confluence.</t>
  </si>
  <si>
    <t>Meeting with Katalika where we made sure we did all the required research and went through the research.</t>
  </si>
  <si>
    <t>Progress report meeting.</t>
  </si>
  <si>
    <t>Watched a video on confluence. Did some research on Git and GitHub and started watching a Git tutorial.</t>
  </si>
  <si>
    <t>Meeting with the team. Details to be confirmed</t>
  </si>
  <si>
    <t>Public Holiday</t>
  </si>
  <si>
    <t>Good Friday</t>
  </si>
  <si>
    <t>Family Day</t>
  </si>
  <si>
    <t>Daily stand up meeting with the team where Clement asked Katalika and I to stay behind where he checked how far we are with the documentation.</t>
  </si>
  <si>
    <t>Accountability session with Katlika to check what we will do for the day.</t>
  </si>
  <si>
    <t>Added to my Git,GitHub,version control systems,SQL and NoSQL.</t>
  </si>
  <si>
    <t>Meeting with the NINES team where we practised our presentations.</t>
  </si>
  <si>
    <t>Progress report meeting with the team where the team updated Clement on their progress and the Clement asked Katalika and I for our progress.</t>
  </si>
  <si>
    <t>Created a personal Repository on GitHub and watched a tutorial video on Git/GitHub where I uploaded files to GitHub.</t>
  </si>
  <si>
    <t>Meeting with the NINES team where we did last minute changes and did a practise run.</t>
  </si>
  <si>
    <t>Meeting with Katilka where she needed assistance with a blocker she had</t>
  </si>
  <si>
    <t>Meeting with Bongani and Katalika where Bongani checked our progress with the research. Bongani asked us questions on our research to make sure we understood everything. We were given more research on : Devops, different types of software environments and types of NoSQL bases</t>
  </si>
  <si>
    <t>Daily stand up meeting with the team.</t>
  </si>
  <si>
    <t>Carried on with section 4 of the Microsoft SQL Server Database Administration Course.</t>
  </si>
  <si>
    <t>Meeting with the NINES team where we practised for our presentation</t>
  </si>
  <si>
    <t>Did research on Devops, different types of software environments and types of NoSQL bases.</t>
  </si>
  <si>
    <t>Presenting</t>
  </si>
  <si>
    <t>Meeting with Shaila, Angela and team where each group presented their presentations. Each group got feedback on what they must change in the presentations.</t>
  </si>
  <si>
    <t>Continued with section 4 of the Microsoft SQL Server Database Administration Course.</t>
  </si>
  <si>
    <t>Meeting with Evashan,Tendo and Katalika where Evashan and Tendo shows Katalika and I the naming conventions for our SQL scripts as well as how to put our course on the Jira board.</t>
  </si>
  <si>
    <t>Accountability meeting with Katalika where we planned how much work we need to do for the Microsoft SQL Server Database Administration Course.</t>
  </si>
  <si>
    <t xml:space="preserve">Continued with section 4 of the Microsoft SQL Server Database Administration Course. </t>
  </si>
  <si>
    <t>Meeting with Bongani, Clement and Katalika where we discussed when we need to finish the course by.</t>
  </si>
  <si>
    <t>Continued with section 4 of the Microsoft SQL Server Database Administration Course and made notes on what I learnt from the various sections before.</t>
  </si>
  <si>
    <t>Graduate Progam</t>
  </si>
  <si>
    <t>Completed section 4 of the Microsoft SQL Server Database Administration Course and finished my notes for section 4. Started section 5 of the Microsoft SQL Server Database Administration Course</t>
  </si>
  <si>
    <t>Progress report meeting with the team where some team members presented what they have done with the power automate project.</t>
  </si>
  <si>
    <t>Completed section 5 of the Microsoft SQL Server Database Administration Course as well as the notes for section 5 and started section 6.</t>
  </si>
  <si>
    <t xml:space="preserve">Meeting with Katalika where we worked together to try and fix a blocker that we had when we could not create a table </t>
  </si>
  <si>
    <t>Continued with section 6 of the Microsoft SQL Server Database Administration Course</t>
  </si>
  <si>
    <t>Daily stand up meeting with the team. Katalika and I had a private call with Clement where we showed our progress. Clement helped me fix my GitHub folders.</t>
  </si>
  <si>
    <t>Accountability meeting with Katalika where we planned how much work we need to do for the Microsoft SQL Server Database Administration Course for the long weekend ahead. Discussed blocker on the view video that we encountered.</t>
  </si>
  <si>
    <t>Continued with section 6 of the Microsoft SQL Server Database Administration Course where I stopped at the end of video 56.</t>
  </si>
  <si>
    <t>Progress report meeting with the team, where each member updated Clement on how far they are with the current course.</t>
  </si>
  <si>
    <t>Started video 57 from the Microsoft SQL Server Database Administration Course .</t>
  </si>
  <si>
    <t>Continued with section 6 of the Microsoft SQL Server Database Administration Course where I stopped at the end of video 59. Made notes fo what I learnt from the previous videos.</t>
  </si>
  <si>
    <t>Discussed growth mindset, including the areas we have grown in as individuals.</t>
  </si>
  <si>
    <t xml:space="preserve">Freedom Day </t>
  </si>
  <si>
    <t>Freedom Day - OBS</t>
  </si>
  <si>
    <t>Daily stand up meeting with the team where we discussed how far each of us have gotten with our work.</t>
  </si>
  <si>
    <t>Planned where I wanted to be with the Microsoft SQL Server Database Administration Course</t>
  </si>
  <si>
    <t>Katalika and I had a call with Clement where we raised our concerns on not being able to finish the course by tomorrow. We asked for an extension which was approved.</t>
  </si>
  <si>
    <t>Completed video 60,61 and 62 of section 6 of the  Microsoft SQL Server Database Administration Course where various scripts relating to the videos were published. Made notes on confluence.</t>
  </si>
  <si>
    <t>Progress report meeting with Clement and the team, where they dicussed how far each of them are with the course as well as the ITIL 4 book. Clement, Katalika and I had a private call after to discuss our progress with the course.</t>
  </si>
  <si>
    <t>Started video 63 from the Microsoft SQL Server Database Administration Course .</t>
  </si>
  <si>
    <t>Completed video 63,64 and started video 65 of  section 6 of the  Microsoft SQL Server Database Administration Course where various scripts relating to the videos were published and made notes on confluence.Reviwed notes from the previous videos and did some research on concepts that I did not understand. Had a look at my data life cycle and tried to see what template I can follow.</t>
  </si>
  <si>
    <t>Completed video 68,69 as well as quiz 5 for section 6 of the Microsoft SQL Server Database Administration Course . Finished up my notes on section 6.</t>
  </si>
  <si>
    <t>Meeting with Katalika where she helped me create the adventureworks 2022 store backup database.</t>
  </si>
  <si>
    <t>Meeting with Clement and Katlika for a course disclosure where we discussed section 4 of the Microsoft SQL Server Database Administration Course .</t>
  </si>
  <si>
    <t>Discussed feedback from the previous meeting and discussed how far we should be with the Microsoft SQL Server Database Administration Course .</t>
  </si>
  <si>
    <t>Started section 7 of the Microsoft SQL Server Database Administration Course.</t>
  </si>
  <si>
    <t>Meeting with the NINES team where we discussed the feedback that we received. We came to a conclusion on what template we are using and what content we need to include.</t>
  </si>
  <si>
    <t>Continuing with section 7 of the Microsoft SQL Server Database Administration Course.</t>
  </si>
  <si>
    <t>Forcasted Hours</t>
  </si>
  <si>
    <t>Forcasted Work Days this month</t>
  </si>
  <si>
    <t>Line Manager :</t>
  </si>
  <si>
    <t>Billable Hours</t>
  </si>
  <si>
    <t>Contractor:</t>
  </si>
  <si>
    <t>Non Billable Hours</t>
  </si>
  <si>
    <t>Total of All Hours</t>
  </si>
  <si>
    <t>Plus: Hours worked, not claimed</t>
  </si>
  <si>
    <t>Worker's Day</t>
  </si>
  <si>
    <t>Detailed Description of task(s) done</t>
  </si>
  <si>
    <t>Youth Day</t>
  </si>
  <si>
    <t>National Women's Day</t>
  </si>
  <si>
    <t>Heritage Day</t>
  </si>
  <si>
    <t>Total Claim</t>
  </si>
  <si>
    <t>Details</t>
  </si>
  <si>
    <t>Month</t>
  </si>
  <si>
    <t>Expense Description</t>
  </si>
  <si>
    <t>Type</t>
  </si>
  <si>
    <t>ZAR COST</t>
  </si>
  <si>
    <t>Vodacom (Example line)</t>
  </si>
  <si>
    <t>Phone</t>
  </si>
  <si>
    <t xml:space="preserve">Do not add the R symbol when capturing the amount. Use the comma not the full stop. </t>
  </si>
  <si>
    <t>MTN (Example line)</t>
  </si>
  <si>
    <t>WiFi / Internet / Data</t>
  </si>
  <si>
    <t>Afrihost (Example line)</t>
  </si>
  <si>
    <t xml:space="preserve">TOTAL </t>
  </si>
  <si>
    <t>Date From</t>
  </si>
  <si>
    <t>Date To</t>
  </si>
  <si>
    <t>Please select applicable Leave and state number of days</t>
  </si>
  <si>
    <t>Type of Leave</t>
  </si>
  <si>
    <t>Start Date</t>
  </si>
  <si>
    <t>End Date</t>
  </si>
  <si>
    <t xml:space="preserve">Number of days </t>
  </si>
  <si>
    <t>Approval Obtained</t>
  </si>
  <si>
    <t>Sick Note</t>
  </si>
  <si>
    <t>Address and Telephone Number during Annual Leave</t>
  </si>
  <si>
    <t>Employee Signature</t>
  </si>
  <si>
    <t>Client Signature</t>
  </si>
  <si>
    <t>Work</t>
  </si>
  <si>
    <t>Resource</t>
  </si>
  <si>
    <t>ADVTech</t>
  </si>
  <si>
    <t>Recording Cvs on Workbook Sheet</t>
  </si>
  <si>
    <t>Albert</t>
  </si>
  <si>
    <t>AFA Sasfin</t>
  </si>
  <si>
    <t>Placing Cvs in Templates</t>
  </si>
  <si>
    <t>Amanda</t>
  </si>
  <si>
    <t>Artist Proof Studio</t>
  </si>
  <si>
    <t>Screening</t>
  </si>
  <si>
    <t>Analysis</t>
  </si>
  <si>
    <t xml:space="preserve">Andile </t>
  </si>
  <si>
    <t>Assimil8 - AGA</t>
  </si>
  <si>
    <t>Headhunting</t>
  </si>
  <si>
    <t>Architecture</t>
  </si>
  <si>
    <t>Angela</t>
  </si>
  <si>
    <t>Base 3</t>
  </si>
  <si>
    <t>Interviews</t>
  </si>
  <si>
    <t>Aubrey</t>
  </si>
  <si>
    <t>C. Steinweg</t>
  </si>
  <si>
    <t>Fixed Assets</t>
  </si>
  <si>
    <t>Configuration</t>
  </si>
  <si>
    <t>Avinash</t>
  </si>
  <si>
    <t>WiFi</t>
  </si>
  <si>
    <t>Conekt AGSA SharePoint</t>
  </si>
  <si>
    <t>Recruitment Work</t>
  </si>
  <si>
    <t>Cubes</t>
  </si>
  <si>
    <t>Bhavesh</t>
  </si>
  <si>
    <t>Conekt – Meridian</t>
  </si>
  <si>
    <t>Team Meeting</t>
  </si>
  <si>
    <t>Database</t>
  </si>
  <si>
    <t>Bihaag</t>
  </si>
  <si>
    <t>Conekt – Altron - AGSA</t>
  </si>
  <si>
    <t>Recruitment team meeting</t>
  </si>
  <si>
    <t>Demo</t>
  </si>
  <si>
    <t>Boaz</t>
  </si>
  <si>
    <t>Yes</t>
  </si>
  <si>
    <t>Conekt – Clientele</t>
  </si>
  <si>
    <t>Deployment</t>
  </si>
  <si>
    <t>Brian</t>
  </si>
  <si>
    <t>No</t>
  </si>
  <si>
    <t>Conekt – Winning Business</t>
  </si>
  <si>
    <t>Design</t>
  </si>
  <si>
    <t>Charles</t>
  </si>
  <si>
    <t>Conekt – Internal Meeting</t>
  </si>
  <si>
    <t>Documentation</t>
  </si>
  <si>
    <t>Clement</t>
  </si>
  <si>
    <t>Events</t>
  </si>
  <si>
    <t xml:space="preserve">David </t>
  </si>
  <si>
    <t>Discovery</t>
  </si>
  <si>
    <t>ETL</t>
  </si>
  <si>
    <t>Diederik</t>
  </si>
  <si>
    <t>Discovery Information Governance and Security</t>
  </si>
  <si>
    <t>FrontEnd</t>
  </si>
  <si>
    <t>Diptendubala</t>
  </si>
  <si>
    <t>Discovery Bank</t>
  </si>
  <si>
    <t>Installing</t>
  </si>
  <si>
    <t>Edmond</t>
  </si>
  <si>
    <t>Discovery CSI</t>
  </si>
  <si>
    <t>Elijah</t>
  </si>
  <si>
    <t>Discovery Health</t>
  </si>
  <si>
    <t>Lunch</t>
  </si>
  <si>
    <t>Elize</t>
  </si>
  <si>
    <t>Discovery People</t>
  </si>
  <si>
    <t>Engelina</t>
  </si>
  <si>
    <t xml:space="preserve">Discovery Skills </t>
  </si>
  <si>
    <t>Ernest</t>
  </si>
  <si>
    <t>Discovery Vitality</t>
  </si>
  <si>
    <t>Project Management</t>
  </si>
  <si>
    <t>Eugene</t>
  </si>
  <si>
    <t>Gyro</t>
  </si>
  <si>
    <t>Evashan</t>
  </si>
  <si>
    <t>Healthforce</t>
  </si>
  <si>
    <t>Sales call</t>
  </si>
  <si>
    <t>KFC Digistics</t>
  </si>
  <si>
    <t>SharePoint</t>
  </si>
  <si>
    <t>Fayruz</t>
  </si>
  <si>
    <t>Medi-Charge</t>
  </si>
  <si>
    <t>Testing</t>
  </si>
  <si>
    <t>Hamerl</t>
  </si>
  <si>
    <t>MICA Build</t>
  </si>
  <si>
    <t>Travel</t>
  </si>
  <si>
    <t>Ian</t>
  </si>
  <si>
    <t>Michelin</t>
  </si>
  <si>
    <t>Troubleshooting</t>
  </si>
  <si>
    <t>Itumeleng</t>
  </si>
  <si>
    <t>Mistro Foods</t>
  </si>
  <si>
    <t>Waiting on client</t>
  </si>
  <si>
    <t>Iviwe</t>
  </si>
  <si>
    <t>OK Furnitures</t>
  </si>
  <si>
    <t>Website content</t>
  </si>
  <si>
    <t>Joseph</t>
  </si>
  <si>
    <t>Olympic Paints</t>
  </si>
  <si>
    <t>Website and collateral</t>
  </si>
  <si>
    <t>Juan</t>
  </si>
  <si>
    <t>RMB CM Data Warehouse support</t>
  </si>
  <si>
    <t>Annual Leave</t>
  </si>
  <si>
    <t>Jubhele</t>
  </si>
  <si>
    <t>RMB CORE NRTI</t>
  </si>
  <si>
    <t>Sick leave</t>
  </si>
  <si>
    <t>Kanelo</t>
  </si>
  <si>
    <t>RMB Liesha</t>
  </si>
  <si>
    <t>Study Leave</t>
  </si>
  <si>
    <t>Karabo</t>
  </si>
  <si>
    <t>RMB Tumelo</t>
  </si>
  <si>
    <t>Family Responsibility Leave</t>
  </si>
  <si>
    <t>Karusha</t>
  </si>
  <si>
    <t>Sachar Mobile</t>
  </si>
  <si>
    <t>Birthday leave</t>
  </si>
  <si>
    <t>Kavish</t>
  </si>
  <si>
    <t>SBV</t>
  </si>
  <si>
    <t>Keown</t>
  </si>
  <si>
    <t>Sibanya</t>
  </si>
  <si>
    <t>Sick Leave - half day</t>
  </si>
  <si>
    <t>Kiaan</t>
  </si>
  <si>
    <t>Transport Holdings</t>
  </si>
  <si>
    <t>Lazarus</t>
  </si>
  <si>
    <t>Lehlohonolo</t>
  </si>
  <si>
    <t xml:space="preserve">Lucky </t>
  </si>
  <si>
    <t xml:space="preserve">Mamello </t>
  </si>
  <si>
    <t>Muzuvukile</t>
  </si>
  <si>
    <t>Nagendra</t>
  </si>
  <si>
    <t>Nathalia</t>
  </si>
  <si>
    <t xml:space="preserve">Ndivhudzannyi </t>
  </si>
  <si>
    <t>Neo</t>
  </si>
  <si>
    <t>Ongeziwe</t>
  </si>
  <si>
    <t xml:space="preserve">Paballo </t>
  </si>
  <si>
    <t xml:space="preserve">Pascal  </t>
  </si>
  <si>
    <t>Pranav</t>
  </si>
  <si>
    <t>Ravi</t>
  </si>
  <si>
    <t>Rivashan</t>
  </si>
  <si>
    <t>Sahur</t>
  </si>
  <si>
    <t>Sanele</t>
  </si>
  <si>
    <t>Sarah</t>
  </si>
  <si>
    <t>Shaila</t>
  </si>
  <si>
    <t>Shaylin</t>
  </si>
  <si>
    <t>Siemon</t>
  </si>
  <si>
    <t xml:space="preserve">Siphenathi </t>
  </si>
  <si>
    <t>Siyakhanya</t>
  </si>
  <si>
    <t>Tatenda</t>
  </si>
  <si>
    <t>Tendo</t>
  </si>
  <si>
    <t>Thabang</t>
  </si>
  <si>
    <t>Timothy</t>
  </si>
  <si>
    <t>Tutu</t>
  </si>
  <si>
    <t>Tyson</t>
  </si>
  <si>
    <t>Vincent</t>
  </si>
  <si>
    <t>Yazeed</t>
  </si>
  <si>
    <t xml:space="preserve">Yugeshin </t>
  </si>
  <si>
    <t>Zola</t>
  </si>
  <si>
    <t>Trinesha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</si>
</sst>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h]:mm"/>
    <numFmt numFmtId="165" formatCode="d/m/yyyy"/>
    <numFmt numFmtId="166" formatCode="_ [$R-1C09]\ * #,##0.00_ ;_ [$R-1C09]\ * \-#,##0.00_ ;_ [$R-1C09]\ * &quot;-&quot;??_ ;_ @_ "/>
    <numFmt numFmtId="167" formatCode="[$R-1C09]#,##0.00;\-[$R-1C09]#,##0.00"/>
  </numFmts>
  <fonts count="20">
    <font>
      <sz val="11"/>
      <color theme="1"/>
      <name val="Twentieth Century"/>
      <scheme val="minor"/>
    </font>
    <font>
      <sz val="10"/>
      <color theme="1"/>
      <name val="Verdana"/>
    </font>
    <font>
      <b/>
      <sz val="10"/>
      <color theme="1"/>
      <name val="Verdana"/>
    </font>
    <font>
      <b/>
      <sz val="10"/>
      <color theme="0"/>
      <name val="Verdana"/>
    </font>
    <font>
      <b/>
      <sz val="9"/>
      <color theme="1"/>
      <name val="Twentieth Century"/>
    </font>
    <font>
      <sz val="10"/>
      <color theme="1"/>
      <name val="Twentieth Century"/>
    </font>
    <font>
      <b/>
      <sz val="10"/>
      <color theme="1"/>
      <name val="Twentieth Century"/>
    </font>
    <font>
      <b/>
      <sz val="11"/>
      <color theme="1"/>
      <name val="Twentieth Century"/>
    </font>
    <font>
      <sz val="11"/>
      <name val="Twentieth Century"/>
    </font>
    <font>
      <b/>
      <u/>
      <sz val="9"/>
      <color theme="1"/>
      <name val="Twentieth Century"/>
    </font>
    <font>
      <b/>
      <sz val="9"/>
      <color rgb="FF0000FF"/>
      <name val="Twentieth Century"/>
    </font>
    <font>
      <b/>
      <u/>
      <sz val="18"/>
      <color theme="1"/>
      <name val="Verdana"/>
    </font>
    <font>
      <u/>
      <sz val="10"/>
      <color theme="1"/>
      <name val="Verdana"/>
    </font>
    <font>
      <sz val="11"/>
      <color theme="1"/>
      <name val="Calibri"/>
    </font>
    <font>
      <sz val="10"/>
      <color rgb="FF000000"/>
      <name val="Calibri"/>
    </font>
    <font>
      <b/>
      <sz val="11"/>
      <color theme="0"/>
      <name val="Calibri"/>
    </font>
    <font>
      <sz val="11"/>
      <color rgb="FF000000"/>
      <name val="Calibri"/>
    </font>
    <font>
      <sz val="10"/>
      <color theme="1"/>
      <name val="Calibri"/>
    </font>
    <font>
      <b/>
      <u/>
      <sz val="11"/>
      <color theme="1"/>
      <name val="Calibri"/>
    </font>
    <font>
      <sz val="10"/>
      <color theme="1"/>
      <name val="Verdana"/>
      <family val="2"/>
    </font>
  </fonts>
  <fills count="13">
    <fill>
      <patternFill patternType="none"/>
    </fill>
    <fill>
      <patternFill patternType="gray125"/>
    </fill>
    <fill>
      <patternFill patternType="solid">
        <fgColor rgb="FF92D050"/>
        <bgColor rgb="FF92D050"/>
      </patternFill>
    </fill>
    <fill>
      <patternFill patternType="solid">
        <fgColor theme="4"/>
        <bgColor theme="4"/>
      </patternFill>
    </fill>
    <fill>
      <patternFill patternType="solid">
        <fgColor rgb="FF82B1E4"/>
        <bgColor rgb="FF82B1E4"/>
      </patternFill>
    </fill>
    <fill>
      <patternFill patternType="solid">
        <fgColor rgb="FF93F5F9"/>
        <bgColor rgb="FF93F5F9"/>
      </patternFill>
    </fill>
    <fill>
      <patternFill patternType="solid">
        <fgColor rgb="FFD8D8D8"/>
        <bgColor rgb="FFD8D8D8"/>
      </patternFill>
    </fill>
    <fill>
      <patternFill patternType="solid">
        <fgColor rgb="FFFFFF00"/>
        <bgColor rgb="FFFFFF00"/>
      </patternFill>
    </fill>
    <fill>
      <patternFill patternType="solid">
        <fgColor theme="0"/>
        <bgColor theme="0"/>
      </patternFill>
    </fill>
    <fill>
      <patternFill patternType="solid">
        <fgColor rgb="FFC7E2FA"/>
        <bgColor rgb="FFC7E2FA"/>
      </patternFill>
    </fill>
    <fill>
      <patternFill patternType="solid">
        <fgColor rgb="FFDCE6F1"/>
        <bgColor rgb="FFDCE6F1"/>
      </patternFill>
    </fill>
    <fill>
      <patternFill patternType="solid">
        <fgColor rgb="FFFFFFFF"/>
        <bgColor rgb="FFFFFFFF"/>
      </patternFill>
    </fill>
    <fill>
      <patternFill patternType="solid">
        <fgColor theme="0"/>
        <bgColor rgb="FF93F5F9"/>
      </patternFill>
    </fill>
  </fills>
  <borders count="57">
    <border>
      <left/>
      <right/>
      <top/>
      <bottom/>
      <diagonal/>
    </border>
    <border>
      <left style="thin">
        <color rgb="FF59A9F2"/>
      </left>
      <right/>
      <top style="thin">
        <color rgb="FF59A9F2"/>
      </top>
      <bottom style="thin">
        <color rgb="FF59A9F2"/>
      </bottom>
      <diagonal/>
    </border>
    <border>
      <left/>
      <right/>
      <top style="thin">
        <color rgb="FF59A9F2"/>
      </top>
      <bottom style="thin">
        <color rgb="FF59A9F2"/>
      </bottom>
      <diagonal/>
    </border>
    <border>
      <left/>
      <right style="thin">
        <color rgb="FF59A9F2"/>
      </right>
      <top style="thin">
        <color rgb="FF59A9F2"/>
      </top>
      <bottom style="thin">
        <color rgb="FF59A9F2"/>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diagonal/>
    </border>
    <border>
      <left style="medium">
        <color rgb="FF17406D"/>
      </left>
      <right style="medium">
        <color rgb="FF17406D"/>
      </right>
      <top style="medium">
        <color rgb="FF17406D"/>
      </top>
      <bottom style="medium">
        <color rgb="FF17406D"/>
      </bottom>
      <diagonal/>
    </border>
    <border>
      <left/>
      <right style="medium">
        <color rgb="FF17406D"/>
      </right>
      <top style="medium">
        <color rgb="FF17406D"/>
      </top>
      <bottom style="medium">
        <color rgb="FF17406D"/>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right/>
      <top/>
      <bottom/>
      <diagonal/>
    </border>
    <border>
      <left style="medium">
        <color rgb="FF000000"/>
      </left>
      <right style="thin">
        <color rgb="FF000000"/>
      </right>
      <top/>
      <bottom style="medium">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rgb="FF000000"/>
      </right>
      <top/>
      <bottom style="thin">
        <color rgb="FF000000"/>
      </bottom>
      <diagonal/>
    </border>
    <border>
      <left style="medium">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thin">
        <color rgb="FF59A9F2"/>
      </top>
      <bottom style="thin">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59A9F2"/>
      </left>
      <right style="thin">
        <color rgb="FF59A9F2"/>
      </right>
      <top style="thin">
        <color rgb="FF59A9F2"/>
      </top>
      <bottom style="thin">
        <color rgb="FF59A9F2"/>
      </bottom>
      <diagonal/>
    </border>
    <border>
      <left/>
      <right/>
      <top style="medium">
        <color rgb="FF4D90FE"/>
      </top>
      <bottom/>
      <diagonal/>
    </border>
    <border>
      <left/>
      <right style="medium">
        <color rgb="FF4D90FE"/>
      </right>
      <top/>
      <bottom/>
      <diagonal/>
    </border>
    <border>
      <left style="thin">
        <color rgb="FF000000"/>
      </left>
      <right style="thin">
        <color rgb="FF000000"/>
      </right>
      <top style="thin">
        <color rgb="FF000000"/>
      </top>
      <bottom style="thin">
        <color rgb="FF59A9F2"/>
      </bottom>
      <diagonal/>
    </border>
    <border>
      <left style="thin">
        <color rgb="FF59A9F2"/>
      </left>
      <right style="thin">
        <color rgb="FF59A9F2"/>
      </right>
      <top style="thin">
        <color rgb="FF59A9F2"/>
      </top>
      <bottom/>
      <diagonal/>
    </border>
    <border>
      <left/>
      <right/>
      <top/>
      <bottom style="thin">
        <color rgb="FF17406D"/>
      </bottom>
      <diagonal/>
    </border>
    <border>
      <left style="thin">
        <color rgb="FF000000"/>
      </left>
      <right style="thin">
        <color rgb="FF000000"/>
      </right>
      <top style="thin">
        <color rgb="FF59A9F2"/>
      </top>
      <bottom style="thin">
        <color rgb="FF59A9F2"/>
      </bottom>
      <diagonal/>
    </border>
    <border>
      <left style="thin">
        <color rgb="FF000000"/>
      </left>
      <right style="thin">
        <color rgb="FF000000"/>
      </right>
      <top style="thin">
        <color rgb="FF59A9F2"/>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74">
    <xf numFmtId="0" fontId="0" fillId="0" borderId="0" xfId="0"/>
    <xf numFmtId="0" fontId="1" fillId="0" borderId="0" xfId="0" applyFont="1"/>
    <xf numFmtId="0" fontId="2" fillId="0" borderId="0" xfId="0" applyFont="1"/>
    <xf numFmtId="0" fontId="1" fillId="0" borderId="0" xfId="0" applyFont="1" applyAlignment="1">
      <alignment wrapText="1"/>
    </xf>
    <xf numFmtId="0" fontId="1" fillId="0" borderId="0" xfId="0" applyFont="1" applyAlignment="1">
      <alignment horizontal="left"/>
    </xf>
    <xf numFmtId="165" fontId="1" fillId="0" borderId="0" xfId="0" applyNumberFormat="1" applyFont="1"/>
    <xf numFmtId="0" fontId="3" fillId="3" borderId="1" xfId="0" applyFont="1" applyFill="1" applyBorder="1"/>
    <xf numFmtId="0" fontId="3" fillId="3" borderId="2" xfId="0" applyFont="1" applyFill="1" applyBorder="1"/>
    <xf numFmtId="0" fontId="3" fillId="3" borderId="2" xfId="0" applyFont="1" applyFill="1" applyBorder="1" applyAlignment="1">
      <alignment wrapText="1"/>
    </xf>
    <xf numFmtId="0" fontId="3" fillId="3" borderId="2" xfId="0" applyFont="1" applyFill="1" applyBorder="1" applyAlignment="1">
      <alignment horizontal="center" wrapText="1"/>
    </xf>
    <xf numFmtId="0" fontId="3" fillId="3" borderId="3" xfId="0" applyFont="1" applyFill="1" applyBorder="1" applyAlignment="1">
      <alignment horizontal="center" wrapText="1"/>
    </xf>
    <xf numFmtId="165" fontId="1" fillId="0" borderId="4" xfId="0" applyNumberFormat="1" applyFont="1" applyBorder="1"/>
    <xf numFmtId="0" fontId="1" fillId="0" borderId="4" xfId="0" applyFont="1" applyBorder="1"/>
    <xf numFmtId="0" fontId="1" fillId="0" borderId="4" xfId="0" applyFont="1" applyBorder="1" applyAlignment="1">
      <alignment wrapText="1"/>
    </xf>
    <xf numFmtId="20" fontId="1" fillId="0" borderId="4" xfId="0" applyNumberFormat="1" applyFont="1" applyBorder="1"/>
    <xf numFmtId="20" fontId="1" fillId="0" borderId="4" xfId="0" applyNumberFormat="1" applyFont="1" applyBorder="1" applyAlignment="1">
      <alignment wrapText="1"/>
    </xf>
    <xf numFmtId="165" fontId="1" fillId="4" borderId="4" xfId="0" applyNumberFormat="1" applyFont="1" applyFill="1" applyBorder="1"/>
    <xf numFmtId="0" fontId="1" fillId="4" borderId="4" xfId="0" applyFont="1" applyFill="1" applyBorder="1"/>
    <xf numFmtId="0" fontId="1" fillId="4" borderId="4" xfId="0" applyFont="1" applyFill="1" applyBorder="1" applyAlignment="1">
      <alignment wrapText="1"/>
    </xf>
    <xf numFmtId="20" fontId="1" fillId="4" borderId="4" xfId="0" applyNumberFormat="1" applyFont="1" applyFill="1" applyBorder="1"/>
    <xf numFmtId="20" fontId="1" fillId="4" borderId="4" xfId="0" applyNumberFormat="1" applyFont="1" applyFill="1" applyBorder="1" applyAlignment="1">
      <alignment wrapText="1"/>
    </xf>
    <xf numFmtId="165" fontId="1" fillId="5" borderId="4" xfId="0" applyNumberFormat="1" applyFont="1" applyFill="1" applyBorder="1"/>
    <xf numFmtId="0" fontId="1" fillId="5" borderId="4" xfId="0" applyFont="1" applyFill="1" applyBorder="1"/>
    <xf numFmtId="0" fontId="1" fillId="5" borderId="4" xfId="0" applyFont="1" applyFill="1" applyBorder="1" applyAlignment="1">
      <alignment wrapText="1"/>
    </xf>
    <xf numFmtId="20" fontId="1" fillId="5" borderId="4" xfId="0" applyNumberFormat="1" applyFont="1" applyFill="1" applyBorder="1"/>
    <xf numFmtId="20" fontId="1" fillId="5" borderId="4" xfId="0" applyNumberFormat="1" applyFont="1" applyFill="1" applyBorder="1" applyAlignment="1">
      <alignment wrapText="1"/>
    </xf>
    <xf numFmtId="20" fontId="1" fillId="0" borderId="0" xfId="0" applyNumberFormat="1" applyFont="1"/>
    <xf numFmtId="20" fontId="1" fillId="0" borderId="0" xfId="0" applyNumberFormat="1" applyFont="1" applyAlignment="1">
      <alignment wrapText="1"/>
    </xf>
    <xf numFmtId="0" fontId="4" fillId="0" borderId="0" xfId="0" applyFont="1"/>
    <xf numFmtId="164" fontId="4" fillId="0" borderId="0" xfId="0" applyNumberFormat="1" applyFont="1"/>
    <xf numFmtId="0" fontId="4" fillId="0" borderId="0" xfId="0" applyFont="1" applyAlignment="1">
      <alignment horizontal="right"/>
    </xf>
    <xf numFmtId="0" fontId="5" fillId="0" borderId="5" xfId="0" applyFont="1" applyBorder="1"/>
    <xf numFmtId="0" fontId="6" fillId="0" borderId="6" xfId="0" applyFont="1" applyBorder="1" applyAlignment="1">
      <alignment horizontal="right" wrapText="1"/>
    </xf>
    <xf numFmtId="20" fontId="4" fillId="0" borderId="0" xfId="0" applyNumberFormat="1" applyFont="1"/>
    <xf numFmtId="0" fontId="5" fillId="0" borderId="0" xfId="0" applyFont="1"/>
    <xf numFmtId="0" fontId="5" fillId="0" borderId="7" xfId="0" applyFont="1" applyBorder="1"/>
    <xf numFmtId="49" fontId="4" fillId="0" borderId="0" xfId="0" applyNumberFormat="1" applyFont="1" applyAlignment="1">
      <alignment vertical="top"/>
    </xf>
    <xf numFmtId="0" fontId="9" fillId="0" borderId="0" xfId="0" applyFont="1" applyAlignment="1">
      <alignment horizontal="left" vertical="top"/>
    </xf>
    <xf numFmtId="0" fontId="7" fillId="0" borderId="5" xfId="0" applyFont="1" applyBorder="1"/>
    <xf numFmtId="164" fontId="5" fillId="0" borderId="6" xfId="0" applyNumberFormat="1" applyFont="1" applyBorder="1" applyAlignment="1">
      <alignment horizontal="right" wrapText="1"/>
    </xf>
    <xf numFmtId="164" fontId="1" fillId="0" borderId="0" xfId="0" applyNumberFormat="1" applyFont="1"/>
    <xf numFmtId="49" fontId="10" fillId="0" borderId="9" xfId="0" applyNumberFormat="1" applyFont="1" applyBorder="1" applyAlignment="1">
      <alignment vertical="top"/>
    </xf>
    <xf numFmtId="164" fontId="5" fillId="0" borderId="9" xfId="0" applyNumberFormat="1" applyFont="1" applyBorder="1" applyAlignment="1">
      <alignment horizontal="right" wrapText="1"/>
    </xf>
    <xf numFmtId="0" fontId="7" fillId="0" borderId="10" xfId="0" applyFont="1" applyBorder="1"/>
    <xf numFmtId="164" fontId="5" fillId="0" borderId="11" xfId="0" applyNumberFormat="1" applyFont="1" applyBorder="1" applyAlignment="1">
      <alignment wrapText="1"/>
    </xf>
    <xf numFmtId="0" fontId="6" fillId="0" borderId="12" xfId="0" applyFont="1" applyBorder="1" applyAlignment="1">
      <alignment horizontal="left"/>
    </xf>
    <xf numFmtId="0" fontId="5" fillId="0" borderId="13" xfId="0" applyFont="1" applyBorder="1" applyAlignment="1">
      <alignment wrapText="1"/>
    </xf>
    <xf numFmtId="0" fontId="1" fillId="0" borderId="13" xfId="0" applyFont="1" applyBorder="1" applyAlignment="1">
      <alignment wrapText="1"/>
    </xf>
    <xf numFmtId="0" fontId="6" fillId="4" borderId="4" xfId="0" applyFont="1" applyFill="1" applyBorder="1"/>
    <xf numFmtId="0" fontId="2" fillId="4" borderId="4" xfId="0" applyFont="1" applyFill="1" applyBorder="1"/>
    <xf numFmtId="0" fontId="6" fillId="0" borderId="0" xfId="0" applyFont="1"/>
    <xf numFmtId="20" fontId="2" fillId="0" borderId="0" xfId="0" applyNumberFormat="1" applyFont="1"/>
    <xf numFmtId="0" fontId="6" fillId="0" borderId="14" xfId="0" applyFont="1" applyBorder="1"/>
    <xf numFmtId="0" fontId="6" fillId="0" borderId="5" xfId="0" applyFont="1" applyBorder="1"/>
    <xf numFmtId="0" fontId="11" fillId="0" borderId="0" xfId="0" applyFont="1" applyAlignment="1">
      <alignment vertical="center"/>
    </xf>
    <xf numFmtId="0" fontId="2" fillId="0" borderId="0" xfId="0" applyFont="1" applyAlignment="1">
      <alignment vertical="center"/>
    </xf>
    <xf numFmtId="0" fontId="1" fillId="0" borderId="0" xfId="0" applyFont="1" applyAlignment="1">
      <alignment vertical="center"/>
    </xf>
    <xf numFmtId="0" fontId="1" fillId="0" borderId="0" xfId="0" applyFont="1" applyAlignment="1">
      <alignment vertical="center" wrapText="1"/>
    </xf>
    <xf numFmtId="165" fontId="1" fillId="0" borderId="0" xfId="0" applyNumberFormat="1" applyFont="1" applyAlignment="1">
      <alignment vertical="center"/>
    </xf>
    <xf numFmtId="0" fontId="1" fillId="0" borderId="0" xfId="0" applyFont="1" applyAlignment="1">
      <alignment horizontal="left" vertical="center"/>
    </xf>
    <xf numFmtId="0" fontId="1" fillId="6" borderId="16" xfId="0" applyFont="1" applyFill="1" applyBorder="1" applyAlignment="1">
      <alignment horizontal="center" vertical="center"/>
    </xf>
    <xf numFmtId="166" fontId="1" fillId="6" borderId="19" xfId="0" applyNumberFormat="1" applyFont="1" applyFill="1" applyBorder="1" applyAlignment="1">
      <alignment horizontal="center" vertical="center"/>
    </xf>
    <xf numFmtId="17" fontId="1" fillId="0" borderId="20" xfId="0" applyNumberFormat="1" applyFont="1" applyBorder="1" applyAlignment="1">
      <alignment horizontal="right" vertical="center"/>
    </xf>
    <xf numFmtId="167" fontId="1" fillId="0" borderId="23" xfId="0" applyNumberFormat="1" applyFont="1" applyBorder="1" applyAlignment="1">
      <alignment horizontal="center" vertical="center"/>
    </xf>
    <xf numFmtId="0" fontId="2" fillId="0" borderId="0" xfId="0" applyFont="1" applyAlignment="1">
      <alignment vertical="center" wrapText="1"/>
    </xf>
    <xf numFmtId="0" fontId="1" fillId="0" borderId="4"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27" xfId="0" applyFont="1" applyBorder="1" applyAlignment="1">
      <alignment horizontal="center" vertical="center" wrapText="1"/>
    </xf>
    <xf numFmtId="0" fontId="2" fillId="0" borderId="27"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xf numFmtId="0" fontId="1" fillId="0" borderId="35" xfId="0" applyFont="1" applyBorder="1"/>
    <xf numFmtId="0" fontId="1" fillId="0" borderId="38" xfId="0" applyFont="1" applyBorder="1"/>
    <xf numFmtId="0" fontId="13" fillId="0" borderId="0" xfId="0" applyFont="1"/>
    <xf numFmtId="0" fontId="14" fillId="6" borderId="4" xfId="0" applyFont="1" applyFill="1" applyBorder="1" applyAlignment="1">
      <alignment horizontal="left" wrapText="1" readingOrder="1"/>
    </xf>
    <xf numFmtId="0" fontId="15" fillId="3" borderId="42" xfId="0" applyFont="1" applyFill="1" applyBorder="1"/>
    <xf numFmtId="0" fontId="13" fillId="9" borderId="42" xfId="0" applyFont="1" applyFill="1" applyBorder="1"/>
    <xf numFmtId="0" fontId="16" fillId="10" borderId="43" xfId="0" applyFont="1" applyFill="1" applyBorder="1"/>
    <xf numFmtId="0" fontId="14" fillId="9" borderId="4" xfId="0" applyFont="1" applyFill="1" applyBorder="1" applyAlignment="1">
      <alignment horizontal="left"/>
    </xf>
    <xf numFmtId="0" fontId="16" fillId="11" borderId="44" xfId="0" applyFont="1" applyFill="1" applyBorder="1"/>
    <xf numFmtId="0" fontId="13" fillId="0" borderId="42" xfId="0" applyFont="1" applyBorder="1"/>
    <xf numFmtId="0" fontId="14" fillId="0" borderId="4" xfId="0" applyFont="1" applyBorder="1"/>
    <xf numFmtId="0" fontId="16" fillId="10" borderId="44" xfId="0" applyFont="1" applyFill="1" applyBorder="1"/>
    <xf numFmtId="0" fontId="14" fillId="9" borderId="4" xfId="0" applyFont="1" applyFill="1" applyBorder="1" applyAlignment="1">
      <alignment horizontal="left" vertical="center" wrapText="1"/>
    </xf>
    <xf numFmtId="0" fontId="17" fillId="9" borderId="4" xfId="0" applyFont="1" applyFill="1" applyBorder="1" applyAlignment="1">
      <alignment vertical="center"/>
    </xf>
    <xf numFmtId="0" fontId="14" fillId="0" borderId="4" xfId="0" applyFont="1" applyBorder="1" applyAlignment="1">
      <alignment horizontal="left"/>
    </xf>
    <xf numFmtId="0" fontId="14" fillId="9" borderId="4" xfId="0" applyFont="1" applyFill="1" applyBorder="1"/>
    <xf numFmtId="0" fontId="14" fillId="9" borderId="45" xfId="0" applyFont="1" applyFill="1" applyBorder="1" applyAlignment="1">
      <alignment horizontal="left"/>
    </xf>
    <xf numFmtId="0" fontId="18" fillId="0" borderId="0" xfId="0" applyFont="1" applyAlignment="1">
      <alignment vertical="center"/>
    </xf>
    <xf numFmtId="0" fontId="14" fillId="0" borderId="45" xfId="0" applyFont="1" applyBorder="1"/>
    <xf numFmtId="0" fontId="13" fillId="0" borderId="0" xfId="0" applyFont="1" applyAlignment="1">
      <alignment vertical="center"/>
    </xf>
    <xf numFmtId="0" fontId="14" fillId="0" borderId="45" xfId="0" applyFont="1" applyBorder="1" applyAlignment="1">
      <alignment horizontal="left"/>
    </xf>
    <xf numFmtId="0" fontId="14" fillId="9" borderId="45" xfId="0" applyFont="1" applyFill="1" applyBorder="1"/>
    <xf numFmtId="0" fontId="14" fillId="0" borderId="45" xfId="0" applyFont="1" applyBorder="1" applyAlignment="1">
      <alignment horizontal="left" vertical="center" wrapText="1"/>
    </xf>
    <xf numFmtId="0" fontId="14" fillId="0" borderId="4" xfId="0" applyFont="1" applyBorder="1" applyAlignment="1">
      <alignment horizontal="left" vertical="center" wrapText="1"/>
    </xf>
    <xf numFmtId="0" fontId="16" fillId="10" borderId="46" xfId="0" applyFont="1" applyFill="1" applyBorder="1"/>
    <xf numFmtId="0" fontId="13" fillId="0" borderId="47" xfId="0" applyFont="1" applyBorder="1"/>
    <xf numFmtId="0" fontId="14" fillId="9" borderId="45" xfId="0" applyFont="1" applyFill="1" applyBorder="1" applyAlignment="1">
      <alignment horizontal="left" vertical="center" wrapText="1"/>
    </xf>
    <xf numFmtId="0" fontId="14" fillId="0" borderId="48" xfId="0" applyFont="1" applyBorder="1" applyAlignment="1">
      <alignment horizontal="left" vertical="center" wrapText="1"/>
    </xf>
    <xf numFmtId="0" fontId="14" fillId="9" borderId="49" xfId="0" applyFont="1" applyFill="1" applyBorder="1" applyAlignment="1">
      <alignment horizontal="left" vertical="center" wrapText="1"/>
    </xf>
    <xf numFmtId="0" fontId="14" fillId="11" borderId="4" xfId="0" applyFont="1" applyFill="1" applyBorder="1" applyAlignment="1">
      <alignment horizontal="left"/>
    </xf>
    <xf numFmtId="0" fontId="14" fillId="0" borderId="50" xfId="0" applyFont="1" applyBorder="1"/>
    <xf numFmtId="0" fontId="14" fillId="0" borderId="0" xfId="0" applyFont="1"/>
    <xf numFmtId="0" fontId="1" fillId="0" borderId="51" xfId="0" applyFont="1" applyBorder="1"/>
    <xf numFmtId="20" fontId="1" fillId="0" borderId="25" xfId="0" applyNumberFormat="1" applyFont="1" applyBorder="1"/>
    <xf numFmtId="20" fontId="1" fillId="0" borderId="50" xfId="0" applyNumberFormat="1" applyFont="1" applyBorder="1" applyAlignment="1">
      <alignment wrapText="1"/>
    </xf>
    <xf numFmtId="20" fontId="1" fillId="0" borderId="52" xfId="0" applyNumberFormat="1" applyFont="1" applyBorder="1" applyAlignment="1">
      <alignment wrapText="1"/>
    </xf>
    <xf numFmtId="0" fontId="1" fillId="0" borderId="51" xfId="0" applyFont="1" applyBorder="1" applyAlignment="1">
      <alignment wrapText="1"/>
    </xf>
    <xf numFmtId="20" fontId="1" fillId="0" borderId="54" xfId="0" applyNumberFormat="1" applyFont="1" applyBorder="1"/>
    <xf numFmtId="20" fontId="1" fillId="5" borderId="53" xfId="0" applyNumberFormat="1" applyFont="1" applyFill="1" applyBorder="1"/>
    <xf numFmtId="20" fontId="1" fillId="5" borderId="53" xfId="0" applyNumberFormat="1" applyFont="1" applyFill="1" applyBorder="1" applyAlignment="1">
      <alignment wrapText="1"/>
    </xf>
    <xf numFmtId="20" fontId="1" fillId="0" borderId="52" xfId="0" applyNumberFormat="1" applyFont="1" applyBorder="1"/>
    <xf numFmtId="165" fontId="1" fillId="0" borderId="25" xfId="0" applyNumberFormat="1" applyFont="1" applyBorder="1"/>
    <xf numFmtId="0" fontId="1" fillId="0" borderId="26" xfId="0" applyFont="1" applyBorder="1"/>
    <xf numFmtId="0" fontId="1" fillId="0" borderId="50" xfId="0" applyFont="1" applyBorder="1"/>
    <xf numFmtId="0" fontId="1" fillId="5" borderId="53" xfId="0" applyFont="1" applyFill="1" applyBorder="1"/>
    <xf numFmtId="0" fontId="1" fillId="0" borderId="25" xfId="0" applyFont="1" applyBorder="1"/>
    <xf numFmtId="0" fontId="1" fillId="0" borderId="52" xfId="0" applyFont="1" applyBorder="1"/>
    <xf numFmtId="0" fontId="1" fillId="0" borderId="54" xfId="0" applyFont="1" applyBorder="1" applyAlignment="1">
      <alignment wrapText="1"/>
    </xf>
    <xf numFmtId="20" fontId="1" fillId="0" borderId="55" xfId="0" applyNumberFormat="1" applyFont="1" applyBorder="1"/>
    <xf numFmtId="0" fontId="1" fillId="0" borderId="56" xfId="0" applyFont="1" applyBorder="1" applyAlignment="1">
      <alignment wrapText="1"/>
    </xf>
    <xf numFmtId="0" fontId="1" fillId="0" borderId="36" xfId="0" applyFont="1" applyBorder="1"/>
    <xf numFmtId="0" fontId="1" fillId="5" borderId="53" xfId="0" applyFont="1" applyFill="1" applyBorder="1" applyAlignment="1">
      <alignment wrapText="1"/>
    </xf>
    <xf numFmtId="0" fontId="1" fillId="0" borderId="52" xfId="0" applyFont="1" applyBorder="1" applyAlignment="1">
      <alignment wrapText="1"/>
    </xf>
    <xf numFmtId="0" fontId="19" fillId="0" borderId="4" xfId="0" applyFont="1" applyBorder="1" applyAlignment="1">
      <alignment wrapText="1"/>
    </xf>
    <xf numFmtId="20" fontId="1" fillId="12" borderId="4" xfId="0" applyNumberFormat="1" applyFont="1" applyFill="1" applyBorder="1"/>
    <xf numFmtId="164" fontId="1" fillId="2" borderId="15" xfId="0" applyNumberFormat="1" applyFont="1" applyFill="1" applyBorder="1" applyAlignment="1">
      <alignment wrapText="1"/>
    </xf>
    <xf numFmtId="0" fontId="5" fillId="0" borderId="19" xfId="0" applyFont="1" applyBorder="1" applyAlignment="1">
      <alignment horizontal="right" wrapText="1"/>
    </xf>
    <xf numFmtId="0" fontId="7" fillId="0" borderId="24" xfId="0" applyFont="1" applyBorder="1"/>
    <xf numFmtId="166" fontId="1" fillId="2" borderId="15" xfId="0" applyNumberFormat="1" applyFont="1" applyFill="1" applyBorder="1" applyAlignment="1">
      <alignment vertical="center"/>
    </xf>
    <xf numFmtId="165" fontId="1" fillId="0" borderId="24" xfId="0" applyNumberFormat="1" applyFont="1" applyBorder="1" applyAlignment="1">
      <alignment horizontal="right" vertical="center"/>
    </xf>
    <xf numFmtId="166" fontId="2" fillId="6" borderId="30" xfId="0" applyNumberFormat="1" applyFont="1" applyFill="1" applyBorder="1" applyAlignment="1">
      <alignment horizontal="center" vertical="center"/>
    </xf>
    <xf numFmtId="0" fontId="2" fillId="8" borderId="15" xfId="0" applyFont="1" applyFill="1" applyBorder="1" applyAlignment="1">
      <alignment horizontal="right" vertical="center"/>
    </xf>
    <xf numFmtId="0" fontId="1" fillId="0" borderId="24" xfId="0" applyFont="1" applyBorder="1" applyAlignment="1">
      <alignment vertical="center" wrapText="1"/>
    </xf>
    <xf numFmtId="0" fontId="16" fillId="11" borderId="15" xfId="0" applyFont="1" applyFill="1" applyBorder="1"/>
    <xf numFmtId="0" fontId="16" fillId="10" borderId="15" xfId="0" applyFont="1" applyFill="1" applyBorder="1"/>
    <xf numFmtId="49" fontId="7" fillId="0" borderId="8" xfId="0" applyNumberFormat="1" applyFont="1" applyBorder="1" applyAlignment="1">
      <alignment horizontal="left" vertical="top"/>
    </xf>
    <xf numFmtId="0" fontId="8" fillId="0" borderId="8" xfId="0" applyFont="1" applyBorder="1"/>
    <xf numFmtId="0" fontId="7" fillId="0" borderId="8" xfId="0" applyFont="1" applyBorder="1" applyAlignment="1">
      <alignment horizontal="left" vertical="top" wrapText="1"/>
    </xf>
    <xf numFmtId="0" fontId="2" fillId="6" borderId="12" xfId="0" applyFont="1" applyFill="1" applyBorder="1" applyAlignment="1">
      <alignment horizontal="left" vertical="center"/>
    </xf>
    <xf numFmtId="0" fontId="8" fillId="0" borderId="27" xfId="0" applyFont="1" applyBorder="1"/>
    <xf numFmtId="0" fontId="8" fillId="0" borderId="28" xfId="0" applyFont="1" applyBorder="1"/>
    <xf numFmtId="0" fontId="1" fillId="0" borderId="25" xfId="0" applyFont="1" applyBorder="1" applyAlignment="1">
      <alignment horizontal="left" vertical="center"/>
    </xf>
    <xf numFmtId="0" fontId="8" fillId="0" borderId="26" xfId="0" applyFont="1" applyBorder="1"/>
    <xf numFmtId="0" fontId="1" fillId="0" borderId="21" xfId="0" applyFont="1" applyBorder="1" applyAlignment="1">
      <alignment horizontal="left" vertical="center"/>
    </xf>
    <xf numFmtId="0" fontId="8" fillId="0" borderId="22" xfId="0" applyFont="1" applyBorder="1"/>
    <xf numFmtId="0" fontId="1" fillId="7" borderId="24" xfId="0" applyFont="1" applyFill="1" applyBorder="1" applyAlignment="1">
      <alignment horizontal="center"/>
    </xf>
    <xf numFmtId="0" fontId="8" fillId="0" borderId="15" xfId="0" applyFont="1" applyBorder="1"/>
    <xf numFmtId="0" fontId="1" fillId="0" borderId="25" xfId="0" applyFont="1" applyBorder="1" applyAlignment="1">
      <alignment horizontal="center" vertical="center"/>
    </xf>
    <xf numFmtId="0" fontId="3" fillId="3" borderId="15" xfId="0" applyFont="1" applyFill="1" applyBorder="1" applyAlignment="1">
      <alignment horizontal="center" vertical="center"/>
    </xf>
    <xf numFmtId="0" fontId="1" fillId="6" borderId="17" xfId="0" applyFont="1" applyFill="1" applyBorder="1" applyAlignment="1">
      <alignment horizontal="center" vertical="center"/>
    </xf>
    <xf numFmtId="0" fontId="8" fillId="0" borderId="18" xfId="0" applyFont="1" applyBorder="1"/>
    <xf numFmtId="0" fontId="1" fillId="0" borderId="32" xfId="0" applyFont="1" applyBorder="1" applyAlignment="1">
      <alignment horizontal="center"/>
    </xf>
    <xf numFmtId="0" fontId="8" fillId="0" borderId="33" xfId="0" applyFont="1" applyBorder="1"/>
    <xf numFmtId="0" fontId="8" fillId="0" borderId="34" xfId="0" applyFont="1" applyBorder="1"/>
    <xf numFmtId="0" fontId="1" fillId="0" borderId="25" xfId="0" applyFont="1" applyBorder="1" applyAlignment="1">
      <alignment horizontal="center"/>
    </xf>
    <xf numFmtId="0" fontId="8" fillId="0" borderId="36" xfId="0" applyFont="1" applyBorder="1"/>
    <xf numFmtId="0" fontId="8" fillId="0" borderId="37" xfId="0" applyFont="1" applyBorder="1"/>
    <xf numFmtId="0" fontId="1" fillId="0" borderId="39" xfId="0" applyFont="1" applyBorder="1" applyAlignment="1">
      <alignment horizontal="center"/>
    </xf>
    <xf numFmtId="0" fontId="8" fillId="0" borderId="40" xfId="0" applyFont="1" applyBorder="1"/>
    <xf numFmtId="0" fontId="8" fillId="0" borderId="41" xfId="0" applyFont="1" applyBorder="1"/>
    <xf numFmtId="0" fontId="2" fillId="0" borderId="0" xfId="0" applyFont="1" applyAlignment="1">
      <alignment vertical="center" wrapText="1"/>
    </xf>
    <xf numFmtId="0" fontId="0" fillId="0" borderId="0" xfId="0"/>
    <xf numFmtId="0" fontId="3" fillId="3" borderId="29" xfId="0" applyFont="1" applyFill="1" applyBorder="1" applyAlignment="1">
      <alignment horizontal="center" vertical="center"/>
    </xf>
    <xf numFmtId="0" fontId="8" fillId="0" borderId="29" xfId="0" applyFont="1" applyBorder="1"/>
    <xf numFmtId="0" fontId="1" fillId="0" borderId="7" xfId="0" applyFont="1" applyBorder="1" applyAlignment="1">
      <alignment horizontal="center" vertical="center" wrapText="1"/>
    </xf>
    <xf numFmtId="0" fontId="12" fillId="0" borderId="5" xfId="0" applyFont="1" applyBorder="1" applyAlignment="1">
      <alignment horizontal="center" vertical="center" wrapText="1"/>
    </xf>
    <xf numFmtId="0" fontId="8" fillId="0" borderId="14" xfId="0" applyFont="1" applyBorder="1"/>
    <xf numFmtId="0" fontId="8" fillId="0" borderId="6" xfId="0" applyFont="1" applyBorder="1"/>
    <xf numFmtId="0" fontId="1" fillId="0" borderId="24" xfId="0" applyFont="1" applyBorder="1" applyAlignment="1">
      <alignment horizontal="center" vertical="center" wrapText="1"/>
    </xf>
    <xf numFmtId="0" fontId="8" fillId="0" borderId="9" xfId="0" applyFont="1" applyBorder="1"/>
    <xf numFmtId="0" fontId="8" fillId="0" borderId="24" xfId="0" applyFont="1" applyBorder="1"/>
    <xf numFmtId="0" fontId="8" fillId="0" borderId="7" xfId="0" applyFont="1" applyBorder="1"/>
    <xf numFmtId="0" fontId="8" fillId="0" borderId="19" xfId="0" applyFont="1" applyBorder="1"/>
  </cellXfs>
  <cellStyles count="1">
    <cellStyle name="Normal" xfId="0" builtinId="0"/>
  </cellStyles>
  <dxfs count="102">
    <dxf>
      <fill>
        <patternFill patternType="solid">
          <fgColor rgb="FF92D050"/>
          <bgColor rgb="FF92D05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82B1E4"/>
          <bgColor rgb="FF82B1E4"/>
        </patternFill>
      </fill>
    </dxf>
    <dxf>
      <fill>
        <patternFill patternType="solid">
          <fgColor rgb="FF82B1E4"/>
          <bgColor rgb="FF82B1E4"/>
        </patternFill>
      </fill>
    </dxf>
    <dxf>
      <fill>
        <patternFill patternType="solid">
          <fgColor rgb="FF92D050"/>
          <bgColor rgb="FF92D05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92D050"/>
          <bgColor rgb="FF92D05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82B1E4"/>
          <bgColor rgb="FF82B1E4"/>
        </patternFill>
      </fill>
    </dxf>
    <dxf>
      <fill>
        <patternFill patternType="solid">
          <fgColor rgb="FF82B1E4"/>
          <bgColor rgb="FF82B1E4"/>
        </patternFill>
      </fill>
    </dxf>
    <dxf>
      <fill>
        <patternFill patternType="solid">
          <fgColor rgb="FF92D050"/>
          <bgColor rgb="FF92D05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92D050"/>
          <bgColor rgb="FF92D05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82B1E4"/>
          <bgColor rgb="FF82B1E4"/>
        </patternFill>
      </fill>
    </dxf>
    <dxf>
      <fill>
        <patternFill patternType="solid">
          <fgColor rgb="FF82B1E4"/>
          <bgColor rgb="FF82B1E4"/>
        </patternFill>
      </fill>
    </dxf>
    <dxf>
      <fill>
        <patternFill patternType="solid">
          <fgColor rgb="FF92D050"/>
          <bgColor rgb="FF92D05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92D050"/>
          <bgColor rgb="FF92D05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82B1E4"/>
          <bgColor rgb="FF82B1E4"/>
        </patternFill>
      </fill>
    </dxf>
    <dxf>
      <fill>
        <patternFill patternType="solid">
          <fgColor rgb="FF82B1E4"/>
          <bgColor rgb="FF82B1E4"/>
        </patternFill>
      </fill>
    </dxf>
    <dxf>
      <fill>
        <patternFill patternType="solid">
          <fgColor rgb="FF92D050"/>
          <bgColor rgb="FF92D05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92D050"/>
          <bgColor rgb="FF92D05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82B1E4"/>
          <bgColor rgb="FF82B1E4"/>
        </patternFill>
      </fill>
    </dxf>
    <dxf>
      <fill>
        <patternFill patternType="solid">
          <fgColor rgb="FF82B1E4"/>
          <bgColor rgb="FF82B1E4"/>
        </patternFill>
      </fill>
    </dxf>
    <dxf>
      <fill>
        <patternFill patternType="solid">
          <fgColor rgb="FF92D050"/>
          <bgColor rgb="FF92D05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92D050"/>
          <bgColor rgb="FF92D05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82B1E4"/>
          <bgColor rgb="FF82B1E4"/>
        </patternFill>
      </fill>
    </dxf>
    <dxf>
      <fill>
        <patternFill patternType="solid">
          <fgColor rgb="FF82B1E4"/>
          <bgColor rgb="FF82B1E4"/>
        </patternFill>
      </fill>
    </dxf>
    <dxf>
      <fill>
        <patternFill patternType="solid">
          <fgColor rgb="FF92D050"/>
          <bgColor rgb="FF92D05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B0DFA0"/>
          <bgColor rgb="FFB0DFA0"/>
        </patternFill>
      </fill>
    </dxf>
    <dxf>
      <fill>
        <patternFill patternType="solid">
          <fgColor rgb="FF90C6F6"/>
          <bgColor rgb="FF90C6F6"/>
        </patternFill>
      </fill>
    </dxf>
    <dxf>
      <fill>
        <patternFill patternType="solid">
          <fgColor rgb="FFC7E2FA"/>
          <bgColor rgb="FFC7E2FA"/>
        </patternFill>
      </fill>
    </dxf>
    <dxf>
      <fill>
        <patternFill patternType="solid">
          <fgColor theme="4"/>
          <bgColor theme="4"/>
        </patternFill>
      </fill>
    </dxf>
    <dxf>
      <fill>
        <patternFill patternType="solid">
          <fgColor rgb="FF90C6F6"/>
          <bgColor rgb="FF90C6F6"/>
        </patternFill>
      </fill>
    </dxf>
    <dxf>
      <fill>
        <patternFill patternType="solid">
          <fgColor rgb="FFC7E2FA"/>
          <bgColor rgb="FFC7E2FA"/>
        </patternFill>
      </fill>
    </dxf>
    <dxf>
      <fill>
        <patternFill patternType="solid">
          <fgColor theme="4"/>
          <bgColor theme="4"/>
        </patternFill>
      </fill>
    </dxf>
  </dxfs>
  <tableStyles count="2">
    <tableStyle name="Key-style" pivot="0" count="3" xr9:uid="{00000000-0011-0000-FFFF-FFFF00000000}">
      <tableStyleElement type="headerRow" dxfId="101"/>
      <tableStyleElement type="firstRowStripe" dxfId="100"/>
      <tableStyleElement type="secondRowStripe" dxfId="99"/>
    </tableStyle>
    <tableStyle name="Key-style 2" pivot="0" count="3" xr9:uid="{00000000-0011-0000-FFFF-FFFF01000000}">
      <tableStyleElement type="headerRow" dxfId="98"/>
      <tableStyleElement type="firstRowStripe" dxfId="97"/>
      <tableStyleElement type="secondRowStripe" dxfId="9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52625" cy="6000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952625" cy="60007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952625" cy="600075"/>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952625" cy="600075"/>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952625" cy="600075"/>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952625" cy="600075"/>
    <xdr:pic>
      <xdr:nvPicPr>
        <xdr:cNvPr id="2" name="image1.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962150" cy="600075"/>
    <xdr:pic>
      <xdr:nvPicPr>
        <xdr:cNvPr id="2" name="image1.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952625" cy="600075"/>
    <xdr:pic>
      <xdr:nvPicPr>
        <xdr:cNvPr id="2" name="image1.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F2:F40">
  <tableColumns count="1">
    <tableColumn id="1" xr3:uid="{00000000-0010-0000-0000-000001000000}" name="Description"/>
  </tableColumns>
  <tableStyleInfo name="Key-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H2:H74">
  <tableColumns count="1">
    <tableColumn id="1" xr3:uid="{00000000-0010-0000-0100-000001000000}" name="Resource"/>
  </tableColumns>
  <tableStyleInfo name="Key-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F49100"/>
      </a:folHlink>
    </a:clrScheme>
    <a:fontScheme name="Sheets">
      <a:majorFont>
        <a:latin typeface="Twentieth Century"/>
        <a:ea typeface="Twentieth Century"/>
        <a:cs typeface="Twentieth Century"/>
      </a:majorFont>
      <a:minorFont>
        <a:latin typeface="Twentieth Century"/>
        <a:ea typeface="Twentieth Century"/>
        <a:cs typeface="Twentieth Century"/>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1107"/>
  <sheetViews>
    <sheetView tabSelected="1" zoomScaleNormal="100" workbookViewId="0">
      <selection activeCell="A8" sqref="A8:J146"/>
    </sheetView>
  </sheetViews>
  <sheetFormatPr defaultColWidth="12.59765625" defaultRowHeight="15" customHeight="1"/>
  <cols>
    <col min="1" max="1" width="12" customWidth="1"/>
    <col min="2" max="2" width="13.09765625" customWidth="1"/>
    <col min="3" max="3" width="16.09765625" customWidth="1"/>
    <col min="4" max="5" width="20" customWidth="1"/>
    <col min="6" max="6" width="23.09765625" customWidth="1"/>
    <col min="7" max="7" width="34" customWidth="1"/>
    <col min="8" max="26" width="8.59765625" customWidth="1"/>
  </cols>
  <sheetData>
    <row r="1" spans="1:26" ht="13.5" customHeight="1">
      <c r="A1" s="1"/>
      <c r="B1" s="1"/>
      <c r="C1" s="1"/>
      <c r="D1" s="1"/>
      <c r="E1" s="1"/>
      <c r="F1" s="1"/>
      <c r="G1" s="1"/>
      <c r="H1" s="1"/>
      <c r="I1" s="1"/>
      <c r="J1" s="1"/>
      <c r="K1" s="1"/>
      <c r="L1" s="1"/>
      <c r="M1" s="1"/>
      <c r="N1" s="1"/>
      <c r="O1" s="1"/>
      <c r="P1" s="1"/>
      <c r="Q1" s="1"/>
      <c r="R1" s="1"/>
      <c r="S1" s="1"/>
      <c r="T1" s="1"/>
      <c r="U1" s="1"/>
      <c r="V1" s="1"/>
      <c r="W1" s="1"/>
      <c r="X1" s="1"/>
      <c r="Y1" s="1"/>
      <c r="Z1" s="1"/>
    </row>
    <row r="2" spans="1:26" ht="13.5" customHeight="1">
      <c r="A2" s="1"/>
      <c r="B2" s="1"/>
      <c r="C2" s="1"/>
      <c r="D2" s="1"/>
      <c r="E2" s="1"/>
      <c r="F2" s="1"/>
      <c r="G2" s="1"/>
      <c r="H2" s="1"/>
      <c r="I2" s="1"/>
      <c r="J2" s="1"/>
      <c r="K2" s="1"/>
      <c r="L2" s="1"/>
      <c r="M2" s="1"/>
      <c r="N2" s="1"/>
      <c r="O2" s="1"/>
      <c r="P2" s="1"/>
      <c r="Q2" s="1"/>
      <c r="R2" s="1"/>
      <c r="S2" s="1"/>
      <c r="T2" s="1"/>
      <c r="U2" s="1"/>
      <c r="V2" s="1"/>
      <c r="W2" s="1"/>
      <c r="X2" s="1"/>
      <c r="Y2" s="1"/>
      <c r="Z2" s="1"/>
    </row>
    <row r="3" spans="1:26" ht="13.5" customHeight="1">
      <c r="A3" s="1"/>
      <c r="B3" s="1"/>
      <c r="C3" s="1"/>
      <c r="D3" s="1"/>
      <c r="E3" s="1"/>
      <c r="F3" s="1"/>
      <c r="G3" s="1"/>
      <c r="H3" s="1"/>
      <c r="I3" s="1"/>
      <c r="J3" s="1"/>
      <c r="K3" s="1"/>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 t="s">
        <v>0</v>
      </c>
      <c r="B5" s="1" t="s">
        <v>1</v>
      </c>
      <c r="C5" s="1"/>
      <c r="D5" s="1"/>
      <c r="E5" s="1"/>
      <c r="F5" s="1"/>
      <c r="G5" s="1"/>
      <c r="H5" s="3"/>
      <c r="I5" s="1"/>
      <c r="J5" s="1"/>
      <c r="K5" s="1"/>
      <c r="L5" s="1"/>
      <c r="M5" s="1"/>
      <c r="N5" s="1"/>
      <c r="O5" s="1"/>
      <c r="P5" s="1"/>
      <c r="Q5" s="1"/>
      <c r="R5" s="1"/>
      <c r="S5" s="1"/>
      <c r="T5" s="1"/>
      <c r="U5" s="1"/>
      <c r="V5" s="1"/>
      <c r="W5" s="1"/>
      <c r="X5" s="1"/>
      <c r="Y5" s="1"/>
      <c r="Z5" s="1"/>
    </row>
    <row r="6" spans="1:26" ht="13.5" customHeight="1">
      <c r="A6" s="2" t="s">
        <v>2</v>
      </c>
      <c r="B6" s="126">
        <f>F151</f>
        <v>0.33333333333333343</v>
      </c>
      <c r="C6" s="2"/>
      <c r="D6" s="1"/>
      <c r="E6" s="1"/>
      <c r="F6" s="1"/>
      <c r="G6" s="1"/>
      <c r="H6" s="3"/>
      <c r="I6" s="1"/>
      <c r="J6" s="4"/>
      <c r="K6" s="1"/>
      <c r="L6" s="1"/>
      <c r="M6" s="1"/>
      <c r="N6" s="1"/>
      <c r="O6" s="1"/>
      <c r="P6" s="1"/>
      <c r="Q6" s="1"/>
      <c r="R6" s="1"/>
      <c r="S6" s="1"/>
      <c r="T6" s="1"/>
      <c r="U6" s="1"/>
      <c r="V6" s="1"/>
      <c r="W6" s="1"/>
      <c r="X6" s="1"/>
      <c r="Y6" s="1"/>
      <c r="Z6" s="1"/>
    </row>
    <row r="7" spans="1:26" ht="13.5" customHeight="1">
      <c r="A7" s="2"/>
      <c r="B7" s="5"/>
      <c r="C7" s="2"/>
      <c r="D7" s="2"/>
      <c r="E7" s="2"/>
      <c r="F7" s="1"/>
      <c r="G7" s="1"/>
      <c r="H7" s="3"/>
      <c r="I7" s="1"/>
      <c r="J7" s="4"/>
      <c r="K7" s="1"/>
      <c r="L7" s="1"/>
      <c r="M7" s="1"/>
      <c r="N7" s="1"/>
      <c r="O7" s="1"/>
      <c r="P7" s="1"/>
      <c r="Q7" s="1"/>
      <c r="R7" s="1"/>
      <c r="S7" s="1"/>
      <c r="T7" s="1"/>
      <c r="U7" s="1"/>
      <c r="V7" s="1"/>
      <c r="W7" s="1"/>
      <c r="X7" s="1"/>
      <c r="Y7" s="1"/>
      <c r="Z7" s="1"/>
    </row>
    <row r="8" spans="1:26" ht="25.8">
      <c r="A8" s="6" t="s">
        <v>3</v>
      </c>
      <c r="B8" s="7" t="s">
        <v>4</v>
      </c>
      <c r="C8" s="7" t="s">
        <v>5</v>
      </c>
      <c r="D8" s="7" t="s">
        <v>6</v>
      </c>
      <c r="E8" s="7" t="s">
        <v>7</v>
      </c>
      <c r="F8" s="7" t="s">
        <v>8</v>
      </c>
      <c r="G8" s="8" t="s">
        <v>9</v>
      </c>
      <c r="H8" s="9" t="s">
        <v>10</v>
      </c>
      <c r="I8" s="9" t="s">
        <v>11</v>
      </c>
      <c r="J8" s="10" t="s">
        <v>12</v>
      </c>
      <c r="K8" s="1"/>
      <c r="L8" s="1"/>
      <c r="M8" s="1"/>
      <c r="N8" s="1"/>
      <c r="O8" s="1"/>
      <c r="P8" s="1"/>
      <c r="Q8" s="1"/>
      <c r="R8" s="1"/>
      <c r="S8" s="1"/>
      <c r="T8" s="1"/>
      <c r="U8" s="1"/>
      <c r="V8" s="1"/>
      <c r="W8" s="1"/>
      <c r="X8" s="1"/>
      <c r="Y8" s="1"/>
      <c r="Z8" s="1"/>
    </row>
    <row r="9" spans="1:26" ht="38.4">
      <c r="A9" s="11">
        <v>45748</v>
      </c>
      <c r="B9" s="11" t="s">
        <v>13</v>
      </c>
      <c r="C9" s="12" t="s">
        <v>14</v>
      </c>
      <c r="D9" s="12" t="s">
        <v>15</v>
      </c>
      <c r="E9" s="12" t="s">
        <v>16</v>
      </c>
      <c r="F9" s="12" t="s">
        <v>17</v>
      </c>
      <c r="G9" s="13" t="s">
        <v>18</v>
      </c>
      <c r="H9" s="14">
        <f t="shared" ref="H9:H146" si="0">J9-I9</f>
        <v>0.16666666666666669</v>
      </c>
      <c r="I9" s="15">
        <v>0.33333333333333331</v>
      </c>
      <c r="J9" s="15">
        <v>0.5</v>
      </c>
      <c r="K9" s="1"/>
      <c r="L9" s="1"/>
      <c r="M9" s="1"/>
      <c r="N9" s="1"/>
      <c r="O9" s="1"/>
      <c r="P9" s="1"/>
      <c r="Q9" s="1"/>
      <c r="R9" s="1"/>
      <c r="S9" s="1"/>
      <c r="T9" s="1"/>
      <c r="U9" s="1"/>
      <c r="V9" s="1"/>
      <c r="W9" s="1"/>
      <c r="X9" s="1"/>
      <c r="Y9" s="1"/>
      <c r="Z9" s="1"/>
    </row>
    <row r="10" spans="1:26" ht="13.8">
      <c r="A10" s="11">
        <v>45748</v>
      </c>
      <c r="B10" s="11" t="s">
        <v>13</v>
      </c>
      <c r="C10" s="12" t="s">
        <v>14</v>
      </c>
      <c r="D10" s="12"/>
      <c r="E10" s="12"/>
      <c r="F10" s="12" t="s">
        <v>17</v>
      </c>
      <c r="G10" s="13"/>
      <c r="H10" s="14">
        <f t="shared" si="0"/>
        <v>0.16666666666666674</v>
      </c>
      <c r="I10" s="15">
        <v>0.54166666666666663</v>
      </c>
      <c r="J10" s="15">
        <v>0.70833333333333337</v>
      </c>
      <c r="K10" s="1"/>
      <c r="L10" s="1"/>
      <c r="M10" s="1"/>
      <c r="N10" s="1"/>
      <c r="O10" s="1"/>
      <c r="P10" s="1"/>
      <c r="Q10" s="1"/>
      <c r="R10" s="1"/>
      <c r="S10" s="1"/>
      <c r="T10" s="1"/>
      <c r="U10" s="1"/>
      <c r="V10" s="1"/>
      <c r="W10" s="1"/>
      <c r="X10" s="1"/>
      <c r="Y10" s="1"/>
      <c r="Z10" s="1"/>
    </row>
    <row r="11" spans="1:26" ht="13.8">
      <c r="A11" s="11">
        <v>45749</v>
      </c>
      <c r="B11" s="11" t="s">
        <v>19</v>
      </c>
      <c r="C11" s="12"/>
      <c r="D11" s="12"/>
      <c r="E11" s="12"/>
      <c r="F11" s="12"/>
      <c r="G11" s="13"/>
      <c r="H11" s="14">
        <f t="shared" si="0"/>
        <v>0</v>
      </c>
      <c r="I11" s="15"/>
      <c r="J11" s="15"/>
      <c r="K11" s="1"/>
      <c r="L11" s="1"/>
      <c r="M11" s="1"/>
      <c r="N11" s="1"/>
      <c r="O11" s="1"/>
      <c r="P11" s="1"/>
      <c r="Q11" s="1"/>
      <c r="R11" s="1"/>
      <c r="S11" s="1"/>
      <c r="T11" s="1"/>
      <c r="U11" s="1"/>
      <c r="V11" s="1"/>
      <c r="W11" s="1"/>
      <c r="X11" s="1"/>
      <c r="Y11" s="1"/>
      <c r="Z11" s="1"/>
    </row>
    <row r="12" spans="1:26" ht="13.8">
      <c r="A12" s="11">
        <v>45750</v>
      </c>
      <c r="B12" s="11" t="s">
        <v>20</v>
      </c>
      <c r="C12" s="12"/>
      <c r="D12" s="12"/>
      <c r="E12" s="12"/>
      <c r="F12" s="12"/>
      <c r="G12" s="13"/>
      <c r="H12" s="14">
        <f t="shared" si="0"/>
        <v>0</v>
      </c>
      <c r="I12" s="15"/>
      <c r="J12" s="15"/>
      <c r="K12" s="1"/>
      <c r="L12" s="1"/>
      <c r="M12" s="1"/>
      <c r="N12" s="1"/>
      <c r="O12" s="1"/>
      <c r="P12" s="1"/>
      <c r="Q12" s="1"/>
      <c r="R12" s="1"/>
      <c r="S12" s="1"/>
      <c r="T12" s="1"/>
      <c r="U12" s="1"/>
      <c r="V12" s="1"/>
      <c r="W12" s="1"/>
      <c r="X12" s="1"/>
      <c r="Y12" s="1"/>
      <c r="Z12" s="1"/>
    </row>
    <row r="13" spans="1:26" ht="13.8">
      <c r="A13" s="11">
        <v>45751</v>
      </c>
      <c r="B13" s="11" t="s">
        <v>21</v>
      </c>
      <c r="C13" s="12"/>
      <c r="D13" s="12"/>
      <c r="E13" s="12"/>
      <c r="F13" s="12"/>
      <c r="G13" s="13"/>
      <c r="H13" s="14">
        <f t="shared" si="0"/>
        <v>0</v>
      </c>
      <c r="I13" s="15"/>
      <c r="J13" s="15"/>
      <c r="K13" s="1"/>
      <c r="L13" s="1"/>
      <c r="M13" s="1"/>
      <c r="N13" s="1"/>
      <c r="O13" s="1"/>
      <c r="P13" s="1"/>
      <c r="Q13" s="1"/>
      <c r="R13" s="1"/>
      <c r="S13" s="1"/>
      <c r="T13" s="1"/>
      <c r="U13" s="1"/>
      <c r="V13" s="1"/>
      <c r="W13" s="1"/>
      <c r="X13" s="1"/>
      <c r="Y13" s="1"/>
      <c r="Z13" s="1"/>
    </row>
    <row r="14" spans="1:26" ht="13.8">
      <c r="A14" s="16">
        <v>45752</v>
      </c>
      <c r="B14" s="16" t="s">
        <v>22</v>
      </c>
      <c r="C14" s="17"/>
      <c r="D14" s="17"/>
      <c r="E14" s="17"/>
      <c r="F14" s="17"/>
      <c r="G14" s="18"/>
      <c r="H14" s="19">
        <f t="shared" si="0"/>
        <v>0</v>
      </c>
      <c r="I14" s="20"/>
      <c r="J14" s="20"/>
      <c r="K14" s="1"/>
      <c r="L14" s="1"/>
      <c r="M14" s="1"/>
      <c r="N14" s="1"/>
      <c r="O14" s="1"/>
      <c r="P14" s="1"/>
      <c r="Q14" s="1"/>
      <c r="R14" s="1"/>
      <c r="S14" s="1"/>
      <c r="T14" s="1"/>
      <c r="U14" s="1"/>
      <c r="V14" s="1"/>
      <c r="W14" s="1"/>
      <c r="X14" s="1"/>
      <c r="Y14" s="1"/>
      <c r="Z14" s="1"/>
    </row>
    <row r="15" spans="1:26" ht="13.8">
      <c r="A15" s="16">
        <v>45753</v>
      </c>
      <c r="B15" s="16" t="s">
        <v>23</v>
      </c>
      <c r="C15" s="17"/>
      <c r="D15" s="17"/>
      <c r="E15" s="17"/>
      <c r="F15" s="17"/>
      <c r="G15" s="18"/>
      <c r="H15" s="19">
        <f t="shared" si="0"/>
        <v>0</v>
      </c>
      <c r="I15" s="20"/>
      <c r="J15" s="20"/>
      <c r="K15" s="1"/>
      <c r="L15" s="1"/>
      <c r="M15" s="1"/>
      <c r="N15" s="1"/>
      <c r="O15" s="1"/>
      <c r="P15" s="1"/>
      <c r="Q15" s="1"/>
      <c r="R15" s="1"/>
      <c r="S15" s="1"/>
      <c r="T15" s="1"/>
      <c r="U15" s="1"/>
      <c r="V15" s="1"/>
      <c r="W15" s="1"/>
      <c r="X15" s="1"/>
      <c r="Y15" s="1"/>
      <c r="Z15" s="1"/>
    </row>
    <row r="16" spans="1:26" ht="38.4">
      <c r="A16" s="11">
        <v>45754</v>
      </c>
      <c r="B16" s="11" t="s">
        <v>24</v>
      </c>
      <c r="C16" s="12" t="s">
        <v>25</v>
      </c>
      <c r="D16" s="12" t="s">
        <v>26</v>
      </c>
      <c r="E16" s="12" t="s">
        <v>27</v>
      </c>
      <c r="F16" s="12" t="s">
        <v>28</v>
      </c>
      <c r="G16" s="13" t="s">
        <v>29</v>
      </c>
      <c r="H16" s="14">
        <f t="shared" si="0"/>
        <v>4.1666666666666685E-2</v>
      </c>
      <c r="I16" s="15">
        <v>0.33333333333333331</v>
      </c>
      <c r="J16" s="15">
        <v>0.375</v>
      </c>
      <c r="K16" s="1"/>
      <c r="L16" s="1"/>
      <c r="M16" s="1"/>
      <c r="N16" s="1"/>
      <c r="O16" s="1"/>
      <c r="P16" s="1"/>
      <c r="Q16" s="1"/>
      <c r="R16" s="1"/>
      <c r="S16" s="1"/>
      <c r="T16" s="1"/>
      <c r="U16" s="1"/>
      <c r="V16" s="1"/>
      <c r="W16" s="1"/>
      <c r="X16" s="1"/>
      <c r="Y16" s="1"/>
      <c r="Z16" s="1"/>
    </row>
    <row r="17" spans="1:26" ht="51">
      <c r="A17" s="11">
        <v>45755</v>
      </c>
      <c r="B17" s="11" t="s">
        <v>13</v>
      </c>
      <c r="C17" s="12" t="s">
        <v>25</v>
      </c>
      <c r="D17" s="12" t="s">
        <v>26</v>
      </c>
      <c r="E17" s="12" t="s">
        <v>27</v>
      </c>
      <c r="F17" s="12" t="s">
        <v>28</v>
      </c>
      <c r="G17" s="13" t="s">
        <v>30</v>
      </c>
      <c r="H17" s="14">
        <f t="shared" si="0"/>
        <v>2.083333333333337E-2</v>
      </c>
      <c r="I17" s="15">
        <v>0.33333333333333331</v>
      </c>
      <c r="J17" s="15">
        <v>0.35416666666666669</v>
      </c>
      <c r="K17" s="1"/>
      <c r="L17" s="1"/>
      <c r="M17" s="1"/>
      <c r="N17" s="1"/>
      <c r="O17" s="1"/>
      <c r="P17" s="1"/>
      <c r="Q17" s="1"/>
      <c r="R17" s="1"/>
      <c r="S17" s="1"/>
      <c r="T17" s="1"/>
      <c r="U17" s="1"/>
      <c r="V17" s="1"/>
      <c r="W17" s="1"/>
      <c r="X17" s="1"/>
      <c r="Y17" s="1"/>
      <c r="Z17" s="1"/>
    </row>
    <row r="18" spans="1:26" ht="51">
      <c r="A18" s="11">
        <v>45755</v>
      </c>
      <c r="B18" s="11" t="s">
        <v>13</v>
      </c>
      <c r="C18" s="12" t="s">
        <v>25</v>
      </c>
      <c r="D18" s="12" t="s">
        <v>26</v>
      </c>
      <c r="E18" s="12" t="s">
        <v>31</v>
      </c>
      <c r="F18" s="12" t="s">
        <v>28</v>
      </c>
      <c r="G18" s="13" t="s">
        <v>32</v>
      </c>
      <c r="H18" s="14">
        <f t="shared" si="0"/>
        <v>1.8055555555555547E-2</v>
      </c>
      <c r="I18" s="15">
        <v>0.35416666666666669</v>
      </c>
      <c r="J18" s="15">
        <v>0.37222222222222223</v>
      </c>
      <c r="K18" s="1"/>
      <c r="L18" s="1"/>
      <c r="M18" s="1"/>
      <c r="N18" s="1"/>
      <c r="O18" s="1"/>
      <c r="P18" s="1"/>
      <c r="Q18" s="1"/>
      <c r="R18" s="1"/>
      <c r="S18" s="1"/>
      <c r="T18" s="1"/>
      <c r="U18" s="1"/>
      <c r="V18" s="1"/>
      <c r="W18" s="1"/>
      <c r="X18" s="1"/>
      <c r="Y18" s="1"/>
      <c r="Z18" s="1"/>
    </row>
    <row r="19" spans="1:26" ht="76.2">
      <c r="A19" s="11">
        <v>45755</v>
      </c>
      <c r="B19" s="11" t="s">
        <v>13</v>
      </c>
      <c r="C19" s="12" t="s">
        <v>25</v>
      </c>
      <c r="D19" s="12" t="s">
        <v>26</v>
      </c>
      <c r="E19" s="12" t="s">
        <v>27</v>
      </c>
      <c r="F19" s="12" t="s">
        <v>28</v>
      </c>
      <c r="G19" s="13" t="s">
        <v>33</v>
      </c>
      <c r="H19" s="14">
        <f t="shared" si="0"/>
        <v>1.9444444444444431E-2</v>
      </c>
      <c r="I19" s="15">
        <v>0.37222222222222223</v>
      </c>
      <c r="J19" s="15">
        <v>0.39166666666666666</v>
      </c>
      <c r="K19" s="1"/>
      <c r="L19" s="1"/>
      <c r="M19" s="1"/>
      <c r="N19" s="1"/>
      <c r="O19" s="1"/>
      <c r="P19" s="1"/>
      <c r="Q19" s="1"/>
      <c r="R19" s="1"/>
      <c r="S19" s="1"/>
      <c r="T19" s="1"/>
      <c r="U19" s="1"/>
      <c r="V19" s="1"/>
      <c r="W19" s="1"/>
      <c r="X19" s="1"/>
      <c r="Y19" s="1"/>
      <c r="Z19" s="1"/>
    </row>
    <row r="20" spans="1:26" ht="76.2">
      <c r="A20" s="11">
        <v>45755</v>
      </c>
      <c r="B20" s="11" t="s">
        <v>13</v>
      </c>
      <c r="C20" s="12" t="s">
        <v>25</v>
      </c>
      <c r="D20" s="12" t="s">
        <v>26</v>
      </c>
      <c r="E20" s="12" t="s">
        <v>34</v>
      </c>
      <c r="F20" s="12" t="s">
        <v>28</v>
      </c>
      <c r="G20" s="13" t="s">
        <v>35</v>
      </c>
      <c r="H20" s="14">
        <f t="shared" si="0"/>
        <v>6.6666666666666652E-2</v>
      </c>
      <c r="I20" s="15">
        <v>0.39166666666666666</v>
      </c>
      <c r="J20" s="15">
        <v>0.45833333333333331</v>
      </c>
      <c r="K20" s="1"/>
      <c r="L20" s="1"/>
      <c r="M20" s="1"/>
      <c r="N20" s="1"/>
      <c r="O20" s="1"/>
      <c r="P20" s="1"/>
      <c r="Q20" s="1"/>
      <c r="R20" s="1"/>
      <c r="S20" s="1"/>
      <c r="T20" s="1"/>
      <c r="U20" s="1"/>
      <c r="V20" s="1"/>
      <c r="W20" s="1"/>
      <c r="X20" s="1"/>
      <c r="Y20" s="1"/>
      <c r="Z20" s="1"/>
    </row>
    <row r="21" spans="1:26" ht="63.6">
      <c r="A21" s="11">
        <v>45755</v>
      </c>
      <c r="B21" s="11" t="s">
        <v>13</v>
      </c>
      <c r="C21" s="12" t="s">
        <v>25</v>
      </c>
      <c r="D21" s="12" t="s">
        <v>26</v>
      </c>
      <c r="E21" s="12" t="s">
        <v>27</v>
      </c>
      <c r="F21" s="12" t="s">
        <v>28</v>
      </c>
      <c r="G21" s="13" t="s">
        <v>36</v>
      </c>
      <c r="H21" s="14">
        <f t="shared" si="0"/>
        <v>4.4444444444444453E-2</v>
      </c>
      <c r="I21" s="15">
        <v>0.45833333333333331</v>
      </c>
      <c r="J21" s="15">
        <v>0.50277777777777777</v>
      </c>
      <c r="K21" s="1"/>
      <c r="L21" s="1"/>
      <c r="M21" s="1"/>
      <c r="N21" s="1"/>
      <c r="O21" s="1"/>
      <c r="P21" s="1"/>
      <c r="Q21" s="1"/>
      <c r="R21" s="1"/>
      <c r="S21" s="1"/>
      <c r="T21" s="1"/>
      <c r="U21" s="1"/>
      <c r="V21" s="1"/>
      <c r="W21" s="1"/>
      <c r="X21" s="1"/>
      <c r="Y21" s="1"/>
      <c r="Z21" s="1"/>
    </row>
    <row r="22" spans="1:26" ht="88.8">
      <c r="A22" s="11">
        <v>45755</v>
      </c>
      <c r="B22" s="11" t="s">
        <v>13</v>
      </c>
      <c r="C22" s="12" t="s">
        <v>25</v>
      </c>
      <c r="D22" s="12" t="s">
        <v>26</v>
      </c>
      <c r="E22" s="12" t="s">
        <v>27</v>
      </c>
      <c r="F22" s="12" t="s">
        <v>28</v>
      </c>
      <c r="G22" s="13" t="s">
        <v>37</v>
      </c>
      <c r="H22" s="14">
        <f t="shared" si="0"/>
        <v>2.0833333333333259E-2</v>
      </c>
      <c r="I22" s="15">
        <v>0.55208333333333337</v>
      </c>
      <c r="J22" s="15">
        <v>0.57291666666666663</v>
      </c>
      <c r="K22" s="1"/>
      <c r="L22" s="1"/>
      <c r="M22" s="1"/>
      <c r="N22" s="1"/>
      <c r="O22" s="1"/>
      <c r="P22" s="1"/>
      <c r="Q22" s="1"/>
      <c r="R22" s="1"/>
      <c r="S22" s="1"/>
      <c r="T22" s="1"/>
      <c r="U22" s="1"/>
      <c r="V22" s="1"/>
      <c r="W22" s="1"/>
      <c r="X22" s="1"/>
      <c r="Y22" s="1"/>
      <c r="Z22" s="1"/>
    </row>
    <row r="23" spans="1:26" ht="114">
      <c r="A23" s="11">
        <v>45755</v>
      </c>
      <c r="B23" s="11" t="s">
        <v>13</v>
      </c>
      <c r="C23" s="12" t="s">
        <v>25</v>
      </c>
      <c r="D23" s="12" t="s">
        <v>26</v>
      </c>
      <c r="E23" s="12" t="s">
        <v>34</v>
      </c>
      <c r="F23" s="12" t="s">
        <v>28</v>
      </c>
      <c r="G23" s="13" t="s">
        <v>38</v>
      </c>
      <c r="H23" s="14">
        <f t="shared" si="0"/>
        <v>9.375E-2</v>
      </c>
      <c r="I23" s="15">
        <v>0.57291666666666663</v>
      </c>
      <c r="J23" s="15">
        <v>0.66666666666666663</v>
      </c>
      <c r="K23" s="1"/>
      <c r="L23" s="1"/>
      <c r="M23" s="1"/>
      <c r="N23" s="1"/>
      <c r="O23" s="1"/>
      <c r="P23" s="1"/>
      <c r="Q23" s="1"/>
      <c r="R23" s="1"/>
      <c r="S23" s="1"/>
      <c r="T23" s="1"/>
      <c r="U23" s="1"/>
      <c r="V23" s="1"/>
      <c r="W23" s="1"/>
      <c r="X23" s="1"/>
      <c r="Y23" s="1"/>
      <c r="Z23" s="1"/>
    </row>
    <row r="24" spans="1:26" ht="126.6">
      <c r="A24" s="11">
        <v>45755</v>
      </c>
      <c r="B24" s="11" t="s">
        <v>13</v>
      </c>
      <c r="C24" s="12" t="s">
        <v>25</v>
      </c>
      <c r="D24" s="12" t="s">
        <v>26</v>
      </c>
      <c r="E24" s="12" t="s">
        <v>27</v>
      </c>
      <c r="F24" s="12" t="s">
        <v>28</v>
      </c>
      <c r="G24" s="13" t="s">
        <v>39</v>
      </c>
      <c r="H24" s="14">
        <f t="shared" si="0"/>
        <v>7.0833333333333415E-2</v>
      </c>
      <c r="I24" s="15">
        <v>0.66666666666666663</v>
      </c>
      <c r="J24" s="15">
        <v>0.73750000000000004</v>
      </c>
      <c r="K24" s="1"/>
      <c r="L24" s="1"/>
      <c r="M24" s="1"/>
      <c r="N24" s="1"/>
      <c r="O24" s="1"/>
      <c r="P24" s="1"/>
      <c r="Q24" s="1"/>
      <c r="R24" s="1"/>
      <c r="S24" s="1"/>
      <c r="T24" s="1"/>
      <c r="U24" s="1"/>
      <c r="V24" s="1"/>
      <c r="W24" s="1"/>
      <c r="X24" s="1"/>
      <c r="Y24" s="1"/>
      <c r="Z24" s="1"/>
    </row>
    <row r="25" spans="1:26" ht="25.8">
      <c r="A25" s="11">
        <v>45756</v>
      </c>
      <c r="B25" s="11" t="s">
        <v>19</v>
      </c>
      <c r="C25" s="12" t="s">
        <v>25</v>
      </c>
      <c r="D25" s="12" t="s">
        <v>26</v>
      </c>
      <c r="E25" s="12" t="s">
        <v>27</v>
      </c>
      <c r="F25" s="12" t="s">
        <v>28</v>
      </c>
      <c r="G25" s="13" t="s">
        <v>40</v>
      </c>
      <c r="H25" s="14">
        <f t="shared" si="0"/>
        <v>1.0416666666666685E-2</v>
      </c>
      <c r="I25" s="15">
        <v>0.33333333333333331</v>
      </c>
      <c r="J25" s="15">
        <v>0.34375</v>
      </c>
      <c r="K25" s="1"/>
      <c r="L25" s="1"/>
      <c r="M25" s="1"/>
      <c r="N25" s="1"/>
      <c r="O25" s="1"/>
      <c r="P25" s="1"/>
      <c r="Q25" s="1"/>
      <c r="R25" s="1"/>
      <c r="S25" s="1"/>
      <c r="T25" s="1"/>
      <c r="U25" s="1"/>
      <c r="V25" s="1"/>
      <c r="W25" s="1"/>
      <c r="X25" s="1"/>
      <c r="Y25" s="1"/>
      <c r="Z25" s="1"/>
    </row>
    <row r="26" spans="1:26" ht="25.8">
      <c r="A26" s="11">
        <v>45756</v>
      </c>
      <c r="B26" s="11" t="s">
        <v>19</v>
      </c>
      <c r="C26" s="12" t="s">
        <v>25</v>
      </c>
      <c r="D26" s="12" t="s">
        <v>26</v>
      </c>
      <c r="E26" s="12" t="s">
        <v>31</v>
      </c>
      <c r="F26" s="12" t="s">
        <v>28</v>
      </c>
      <c r="G26" s="13" t="s">
        <v>41</v>
      </c>
      <c r="H26" s="14">
        <f t="shared" si="0"/>
        <v>1.0416666666666685E-2</v>
      </c>
      <c r="I26" s="15">
        <v>0.34375</v>
      </c>
      <c r="J26" s="15">
        <v>0.35416666666666669</v>
      </c>
      <c r="K26" s="1"/>
      <c r="L26" s="1"/>
      <c r="M26" s="1"/>
      <c r="N26" s="1"/>
      <c r="O26" s="1"/>
      <c r="P26" s="1"/>
      <c r="Q26" s="1"/>
      <c r="R26" s="1"/>
      <c r="S26" s="1"/>
      <c r="T26" s="1"/>
      <c r="U26" s="1"/>
      <c r="V26" s="1"/>
      <c r="W26" s="1"/>
      <c r="X26" s="1"/>
      <c r="Y26" s="1"/>
      <c r="Z26" s="1"/>
    </row>
    <row r="27" spans="1:26" ht="51">
      <c r="A27" s="11">
        <v>45756</v>
      </c>
      <c r="B27" s="11" t="s">
        <v>19</v>
      </c>
      <c r="C27" s="12" t="s">
        <v>25</v>
      </c>
      <c r="D27" s="12" t="s">
        <v>26</v>
      </c>
      <c r="E27" s="12" t="s">
        <v>27</v>
      </c>
      <c r="F27" s="12" t="s">
        <v>28</v>
      </c>
      <c r="G27" s="13" t="s">
        <v>42</v>
      </c>
      <c r="H27" s="14">
        <f t="shared" si="0"/>
        <v>2.0833333333333315E-2</v>
      </c>
      <c r="I27" s="15">
        <v>0.35416666666666669</v>
      </c>
      <c r="J27" s="15">
        <v>0.375</v>
      </c>
      <c r="K27" s="1"/>
      <c r="L27" s="1"/>
      <c r="M27" s="1"/>
      <c r="N27" s="1"/>
      <c r="O27" s="1"/>
      <c r="P27" s="1"/>
      <c r="Q27" s="1"/>
      <c r="R27" s="1"/>
      <c r="S27" s="1"/>
      <c r="T27" s="1"/>
      <c r="U27" s="1"/>
      <c r="V27" s="1"/>
      <c r="W27" s="1"/>
      <c r="X27" s="1"/>
      <c r="Y27" s="1"/>
      <c r="Z27" s="1"/>
    </row>
    <row r="28" spans="1:26" ht="38.4">
      <c r="A28" s="11">
        <v>45756</v>
      </c>
      <c r="B28" s="11" t="s">
        <v>19</v>
      </c>
      <c r="C28" s="12" t="s">
        <v>25</v>
      </c>
      <c r="D28" s="12" t="s">
        <v>26</v>
      </c>
      <c r="E28" s="12" t="s">
        <v>27</v>
      </c>
      <c r="F28" s="12" t="s">
        <v>28</v>
      </c>
      <c r="G28" s="13" t="s">
        <v>43</v>
      </c>
      <c r="H28" s="14">
        <f t="shared" si="0"/>
        <v>2.0833333333333315E-2</v>
      </c>
      <c r="I28" s="15">
        <v>0.375</v>
      </c>
      <c r="J28" s="15">
        <v>0.39583333333333331</v>
      </c>
      <c r="K28" s="1"/>
      <c r="L28" s="1"/>
      <c r="M28" s="1"/>
      <c r="N28" s="1"/>
      <c r="O28" s="1"/>
      <c r="P28" s="1"/>
      <c r="Q28" s="1"/>
      <c r="R28" s="1"/>
      <c r="S28" s="1"/>
      <c r="T28" s="1"/>
      <c r="U28" s="1"/>
      <c r="V28" s="1"/>
      <c r="W28" s="1"/>
      <c r="X28" s="1"/>
      <c r="Y28" s="1"/>
      <c r="Z28" s="1"/>
    </row>
    <row r="29" spans="1:26" ht="88.8">
      <c r="A29" s="11">
        <v>45756</v>
      </c>
      <c r="B29" s="11" t="s">
        <v>19</v>
      </c>
      <c r="C29" s="12" t="s">
        <v>25</v>
      </c>
      <c r="D29" s="12" t="s">
        <v>26</v>
      </c>
      <c r="E29" s="12" t="s">
        <v>27</v>
      </c>
      <c r="F29" s="12" t="s">
        <v>28</v>
      </c>
      <c r="G29" s="13" t="s">
        <v>44</v>
      </c>
      <c r="H29" s="14">
        <f t="shared" si="0"/>
        <v>2.430555555555558E-2</v>
      </c>
      <c r="I29" s="15">
        <v>0.39583333333333331</v>
      </c>
      <c r="J29" s="15">
        <v>0.4201388888888889</v>
      </c>
      <c r="K29" s="1"/>
      <c r="L29" s="1"/>
      <c r="M29" s="1"/>
      <c r="N29" s="1"/>
      <c r="O29" s="1"/>
      <c r="P29" s="1"/>
      <c r="Q29" s="1"/>
      <c r="R29" s="1"/>
      <c r="S29" s="1"/>
      <c r="T29" s="1"/>
      <c r="U29" s="1"/>
      <c r="V29" s="1"/>
      <c r="W29" s="1"/>
      <c r="X29" s="1"/>
      <c r="Y29" s="1"/>
      <c r="Z29" s="1"/>
    </row>
    <row r="30" spans="1:26" ht="25.8">
      <c r="A30" s="11">
        <v>45756</v>
      </c>
      <c r="B30" s="11" t="s">
        <v>19</v>
      </c>
      <c r="C30" s="12" t="s">
        <v>25</v>
      </c>
      <c r="D30" s="12" t="s">
        <v>26</v>
      </c>
      <c r="E30" s="12" t="s">
        <v>27</v>
      </c>
      <c r="F30" s="12" t="s">
        <v>28</v>
      </c>
      <c r="G30" s="13" t="s">
        <v>45</v>
      </c>
      <c r="H30" s="14">
        <f t="shared" si="0"/>
        <v>3.819444444444442E-2</v>
      </c>
      <c r="I30" s="15">
        <v>0.4201388888888889</v>
      </c>
      <c r="J30" s="15">
        <v>0.45833333333333331</v>
      </c>
      <c r="K30" s="1"/>
      <c r="L30" s="1"/>
      <c r="M30" s="1"/>
      <c r="N30" s="1"/>
      <c r="O30" s="1"/>
      <c r="P30" s="1"/>
      <c r="Q30" s="1"/>
      <c r="R30" s="1"/>
      <c r="S30" s="1"/>
      <c r="T30" s="1"/>
      <c r="U30" s="1"/>
      <c r="V30" s="1"/>
      <c r="W30" s="1"/>
      <c r="X30" s="1"/>
      <c r="Y30" s="1"/>
      <c r="Z30" s="1"/>
    </row>
    <row r="31" spans="1:26" ht="88.8">
      <c r="A31" s="11">
        <v>45756</v>
      </c>
      <c r="B31" s="11" t="s">
        <v>19</v>
      </c>
      <c r="C31" s="12" t="s">
        <v>25</v>
      </c>
      <c r="D31" s="12" t="s">
        <v>26</v>
      </c>
      <c r="E31" s="12" t="s">
        <v>27</v>
      </c>
      <c r="F31" s="12" t="s">
        <v>28</v>
      </c>
      <c r="G31" s="13" t="s">
        <v>46</v>
      </c>
      <c r="H31" s="14">
        <f t="shared" si="0"/>
        <v>2.083333333333337E-2</v>
      </c>
      <c r="I31" s="15">
        <v>0.45833333333333331</v>
      </c>
      <c r="J31" s="15">
        <v>0.47916666666666669</v>
      </c>
      <c r="K31" s="1"/>
      <c r="L31" s="1"/>
      <c r="M31" s="1"/>
      <c r="N31" s="1"/>
      <c r="O31" s="1"/>
      <c r="P31" s="1"/>
      <c r="Q31" s="1"/>
      <c r="R31" s="1"/>
      <c r="S31" s="1"/>
      <c r="T31" s="1"/>
      <c r="U31" s="1"/>
      <c r="V31" s="1"/>
      <c r="W31" s="1"/>
      <c r="X31" s="1"/>
      <c r="Y31" s="1"/>
      <c r="Z31" s="1"/>
    </row>
    <row r="32" spans="1:26" ht="88.8">
      <c r="A32" s="11">
        <v>45756</v>
      </c>
      <c r="B32" s="11" t="s">
        <v>19</v>
      </c>
      <c r="C32" s="12" t="s">
        <v>25</v>
      </c>
      <c r="D32" s="12" t="s">
        <v>26</v>
      </c>
      <c r="E32" s="12" t="s">
        <v>34</v>
      </c>
      <c r="F32" s="12" t="s">
        <v>28</v>
      </c>
      <c r="G32" s="13" t="s">
        <v>47</v>
      </c>
      <c r="H32" s="14">
        <f t="shared" si="0"/>
        <v>0.10416666666666669</v>
      </c>
      <c r="I32" s="15">
        <v>0.47916666666666669</v>
      </c>
      <c r="J32" s="15">
        <v>0.58333333333333337</v>
      </c>
      <c r="K32" s="1"/>
      <c r="L32" s="1"/>
      <c r="M32" s="1"/>
      <c r="N32" s="1"/>
      <c r="O32" s="1"/>
      <c r="P32" s="1"/>
      <c r="Q32" s="1"/>
      <c r="R32" s="1"/>
      <c r="S32" s="1"/>
      <c r="T32" s="1"/>
      <c r="U32" s="1"/>
      <c r="V32" s="1"/>
      <c r="W32" s="1"/>
      <c r="X32" s="1"/>
      <c r="Y32" s="1"/>
      <c r="Z32" s="1"/>
    </row>
    <row r="33" spans="1:26" ht="38.4">
      <c r="A33" s="11">
        <v>45756</v>
      </c>
      <c r="B33" s="11" t="s">
        <v>19</v>
      </c>
      <c r="C33" s="12" t="s">
        <v>25</v>
      </c>
      <c r="D33" s="12" t="s">
        <v>26</v>
      </c>
      <c r="E33" s="12" t="s">
        <v>48</v>
      </c>
      <c r="F33" s="12" t="s">
        <v>28</v>
      </c>
      <c r="G33" s="13" t="s">
        <v>49</v>
      </c>
      <c r="H33" s="14">
        <f t="shared" si="0"/>
        <v>4.166666666666663E-2</v>
      </c>
      <c r="I33" s="15">
        <v>0.625</v>
      </c>
      <c r="J33" s="15">
        <v>0.66666666666666663</v>
      </c>
      <c r="K33" s="1"/>
      <c r="L33" s="1"/>
      <c r="M33" s="1"/>
      <c r="N33" s="1"/>
      <c r="O33" s="1"/>
      <c r="P33" s="1"/>
      <c r="Q33" s="1"/>
      <c r="R33" s="1"/>
      <c r="S33" s="1"/>
      <c r="T33" s="1"/>
      <c r="U33" s="1"/>
      <c r="V33" s="1"/>
      <c r="W33" s="1"/>
      <c r="X33" s="1"/>
      <c r="Y33" s="1"/>
      <c r="Z33" s="1"/>
    </row>
    <row r="34" spans="1:26" ht="151.80000000000001">
      <c r="A34" s="11">
        <v>45756</v>
      </c>
      <c r="B34" s="11" t="s">
        <v>19</v>
      </c>
      <c r="C34" s="12" t="s">
        <v>25</v>
      </c>
      <c r="D34" s="12" t="s">
        <v>26</v>
      </c>
      <c r="E34" s="12" t="s">
        <v>27</v>
      </c>
      <c r="F34" s="12" t="s">
        <v>28</v>
      </c>
      <c r="G34" s="13" t="s">
        <v>50</v>
      </c>
      <c r="H34" s="14">
        <f t="shared" si="0"/>
        <v>6.4583333333333326E-2</v>
      </c>
      <c r="I34" s="15">
        <v>0.66666666666666663</v>
      </c>
      <c r="J34" s="15">
        <v>0.73124999999999996</v>
      </c>
      <c r="K34" s="1"/>
      <c r="L34" s="1"/>
      <c r="M34" s="1"/>
      <c r="N34" s="1"/>
      <c r="O34" s="1"/>
      <c r="P34" s="1"/>
      <c r="Q34" s="1"/>
      <c r="R34" s="1"/>
      <c r="S34" s="1"/>
      <c r="T34" s="1"/>
      <c r="U34" s="1"/>
      <c r="V34" s="1"/>
      <c r="W34" s="1"/>
      <c r="X34" s="1"/>
      <c r="Y34" s="1"/>
      <c r="Z34" s="1"/>
    </row>
    <row r="35" spans="1:26" ht="101.4">
      <c r="A35" s="11">
        <v>45757</v>
      </c>
      <c r="B35" s="11" t="s">
        <v>20</v>
      </c>
      <c r="C35" s="12" t="s">
        <v>25</v>
      </c>
      <c r="D35" s="12" t="s">
        <v>26</v>
      </c>
      <c r="E35" s="12" t="s">
        <v>27</v>
      </c>
      <c r="F35" s="12" t="s">
        <v>28</v>
      </c>
      <c r="G35" s="13" t="s">
        <v>51</v>
      </c>
      <c r="H35" s="14">
        <f t="shared" si="0"/>
        <v>2.777777777777779E-2</v>
      </c>
      <c r="I35" s="15">
        <v>0.33333333333333331</v>
      </c>
      <c r="J35" s="15">
        <v>0.3611111111111111</v>
      </c>
      <c r="K35" s="1"/>
      <c r="L35" s="1"/>
      <c r="M35" s="1"/>
      <c r="N35" s="1"/>
      <c r="O35" s="1"/>
      <c r="P35" s="1"/>
      <c r="Q35" s="1"/>
      <c r="R35" s="1"/>
      <c r="S35" s="1"/>
      <c r="T35" s="1"/>
      <c r="U35" s="1"/>
      <c r="V35" s="1"/>
      <c r="W35" s="1"/>
      <c r="X35" s="1"/>
      <c r="Y35" s="1"/>
      <c r="Z35" s="1"/>
    </row>
    <row r="36" spans="1:26" ht="51">
      <c r="A36" s="11">
        <v>45757</v>
      </c>
      <c r="B36" s="11" t="s">
        <v>20</v>
      </c>
      <c r="C36" s="12" t="s">
        <v>25</v>
      </c>
      <c r="D36" s="12" t="s">
        <v>26</v>
      </c>
      <c r="E36" s="12" t="s">
        <v>48</v>
      </c>
      <c r="F36" s="12" t="s">
        <v>28</v>
      </c>
      <c r="G36" s="13" t="s">
        <v>52</v>
      </c>
      <c r="H36" s="14">
        <f t="shared" si="0"/>
        <v>3.472222222222221E-2</v>
      </c>
      <c r="I36" s="15">
        <v>0.3611111111111111</v>
      </c>
      <c r="J36" s="15">
        <v>0.39583333333333331</v>
      </c>
      <c r="K36" s="1"/>
      <c r="L36" s="1"/>
      <c r="M36" s="1"/>
      <c r="N36" s="1"/>
      <c r="O36" s="1"/>
      <c r="P36" s="1"/>
      <c r="Q36" s="1"/>
      <c r="R36" s="1"/>
      <c r="S36" s="1"/>
      <c r="T36" s="1"/>
      <c r="U36" s="1"/>
      <c r="V36" s="1"/>
      <c r="W36" s="1"/>
      <c r="X36" s="1"/>
      <c r="Y36" s="1"/>
      <c r="Z36" s="1"/>
    </row>
    <row r="37" spans="1:26" ht="51">
      <c r="A37" s="11">
        <v>45757</v>
      </c>
      <c r="B37" s="11" t="s">
        <v>20</v>
      </c>
      <c r="C37" s="12" t="s">
        <v>25</v>
      </c>
      <c r="D37" s="12" t="s">
        <v>26</v>
      </c>
      <c r="E37" s="12" t="s">
        <v>27</v>
      </c>
      <c r="F37" s="12" t="s">
        <v>28</v>
      </c>
      <c r="G37" s="13" t="s">
        <v>53</v>
      </c>
      <c r="H37" s="14">
        <f t="shared" si="0"/>
        <v>6.25E-2</v>
      </c>
      <c r="I37" s="15">
        <v>0.39583333333333331</v>
      </c>
      <c r="J37" s="15">
        <v>0.45833333333333331</v>
      </c>
      <c r="K37" s="1"/>
      <c r="L37" s="1"/>
      <c r="M37" s="1"/>
      <c r="N37" s="1"/>
      <c r="O37" s="1"/>
      <c r="P37" s="1"/>
      <c r="Q37" s="1"/>
      <c r="R37" s="1"/>
      <c r="S37" s="1"/>
      <c r="T37" s="1"/>
      <c r="U37" s="1"/>
      <c r="V37" s="1"/>
      <c r="W37" s="1"/>
      <c r="X37" s="1"/>
      <c r="Y37" s="1"/>
      <c r="Z37" s="1"/>
    </row>
    <row r="38" spans="1:26" ht="101.4">
      <c r="A38" s="11">
        <v>45757</v>
      </c>
      <c r="B38" s="11" t="s">
        <v>20</v>
      </c>
      <c r="C38" s="12" t="s">
        <v>25</v>
      </c>
      <c r="D38" s="12" t="s">
        <v>26</v>
      </c>
      <c r="E38" s="12" t="s">
        <v>27</v>
      </c>
      <c r="F38" s="12" t="s">
        <v>28</v>
      </c>
      <c r="G38" s="13" t="s">
        <v>54</v>
      </c>
      <c r="H38" s="14">
        <f t="shared" si="0"/>
        <v>2.777777777777779E-2</v>
      </c>
      <c r="I38" s="15">
        <v>0.45833333333333331</v>
      </c>
      <c r="J38" s="15">
        <v>0.4861111111111111</v>
      </c>
      <c r="K38" s="1"/>
      <c r="L38" s="1"/>
      <c r="M38" s="1"/>
      <c r="N38" s="1"/>
      <c r="O38" s="1"/>
      <c r="P38" s="1"/>
      <c r="Q38" s="1"/>
      <c r="R38" s="1"/>
      <c r="S38" s="1"/>
      <c r="T38" s="1"/>
      <c r="U38" s="1"/>
      <c r="V38" s="1"/>
      <c r="W38" s="1"/>
      <c r="X38" s="1"/>
      <c r="Y38" s="1"/>
      <c r="Z38" s="1"/>
    </row>
    <row r="39" spans="1:26" ht="25.8">
      <c r="A39" s="11">
        <v>45757</v>
      </c>
      <c r="B39" s="11" t="s">
        <v>20</v>
      </c>
      <c r="C39" s="12" t="s">
        <v>25</v>
      </c>
      <c r="D39" s="12" t="s">
        <v>26</v>
      </c>
      <c r="E39" s="12" t="s">
        <v>48</v>
      </c>
      <c r="F39" s="12" t="s">
        <v>28</v>
      </c>
      <c r="G39" s="13" t="s">
        <v>55</v>
      </c>
      <c r="H39" s="14">
        <f t="shared" si="0"/>
        <v>1.3888888888888895E-2</v>
      </c>
      <c r="I39" s="15">
        <v>0.4861111111111111</v>
      </c>
      <c r="J39" s="15">
        <v>0.5</v>
      </c>
      <c r="K39" s="1"/>
      <c r="L39" s="1"/>
      <c r="M39" s="1"/>
      <c r="N39" s="1"/>
      <c r="O39" s="1"/>
      <c r="P39" s="1"/>
      <c r="Q39" s="1"/>
      <c r="R39" s="1"/>
      <c r="S39" s="1"/>
      <c r="T39" s="1"/>
      <c r="U39" s="1"/>
      <c r="V39" s="1"/>
      <c r="W39" s="1"/>
      <c r="X39" s="1"/>
      <c r="Y39" s="1"/>
      <c r="Z39" s="1"/>
    </row>
    <row r="40" spans="1:26" ht="38.4">
      <c r="A40" s="11">
        <v>45757</v>
      </c>
      <c r="B40" s="11" t="s">
        <v>20</v>
      </c>
      <c r="C40" s="12" t="s">
        <v>25</v>
      </c>
      <c r="D40" s="12" t="s">
        <v>26</v>
      </c>
      <c r="E40" s="12" t="s">
        <v>48</v>
      </c>
      <c r="F40" s="12" t="s">
        <v>28</v>
      </c>
      <c r="G40" s="13" t="s">
        <v>56</v>
      </c>
      <c r="H40" s="14">
        <f t="shared" si="0"/>
        <v>2.083333333333337E-2</v>
      </c>
      <c r="I40" s="15">
        <v>0.5625</v>
      </c>
      <c r="J40" s="15">
        <v>0.58333333333333337</v>
      </c>
      <c r="K40" s="1"/>
      <c r="L40" s="1"/>
      <c r="M40" s="1"/>
      <c r="N40" s="1"/>
      <c r="O40" s="1"/>
      <c r="P40" s="1"/>
      <c r="Q40" s="1"/>
      <c r="R40" s="1"/>
      <c r="S40" s="1"/>
      <c r="T40" s="1"/>
      <c r="U40" s="1"/>
      <c r="V40" s="1"/>
      <c r="W40" s="1"/>
      <c r="X40" s="1"/>
      <c r="Y40" s="1"/>
      <c r="Z40" s="1"/>
    </row>
    <row r="41" spans="1:26" ht="63.6">
      <c r="A41" s="11">
        <v>45757</v>
      </c>
      <c r="B41" s="11" t="s">
        <v>20</v>
      </c>
      <c r="C41" s="12" t="s">
        <v>25</v>
      </c>
      <c r="D41" s="12" t="s">
        <v>26</v>
      </c>
      <c r="E41" s="12" t="s">
        <v>27</v>
      </c>
      <c r="F41" s="12" t="s">
        <v>28</v>
      </c>
      <c r="G41" s="13" t="s">
        <v>57</v>
      </c>
      <c r="H41" s="14">
        <f t="shared" si="0"/>
        <v>2.0833333333333259E-2</v>
      </c>
      <c r="I41" s="15">
        <v>0.58333333333333337</v>
      </c>
      <c r="J41" s="15">
        <v>0.60416666666666663</v>
      </c>
      <c r="K41" s="1"/>
      <c r="L41" s="1"/>
      <c r="M41" s="1"/>
      <c r="N41" s="1"/>
      <c r="O41" s="1"/>
      <c r="P41" s="1"/>
      <c r="Q41" s="1"/>
      <c r="R41" s="1"/>
      <c r="S41" s="1"/>
      <c r="T41" s="1"/>
      <c r="U41" s="1"/>
      <c r="V41" s="1"/>
      <c r="W41" s="1"/>
      <c r="X41" s="1"/>
      <c r="Y41" s="1"/>
      <c r="Z41" s="1"/>
    </row>
    <row r="42" spans="1:26" ht="51">
      <c r="A42" s="11">
        <v>45757</v>
      </c>
      <c r="B42" s="11" t="s">
        <v>20</v>
      </c>
      <c r="C42" s="12" t="s">
        <v>25</v>
      </c>
      <c r="D42" s="12" t="s">
        <v>26</v>
      </c>
      <c r="E42" s="12" t="s">
        <v>34</v>
      </c>
      <c r="F42" s="12" t="s">
        <v>28</v>
      </c>
      <c r="G42" s="13" t="s">
        <v>58</v>
      </c>
      <c r="H42" s="14">
        <f t="shared" si="0"/>
        <v>6.25E-2</v>
      </c>
      <c r="I42" s="15">
        <v>0.60416666666666663</v>
      </c>
      <c r="J42" s="15">
        <v>0.66666666666666663</v>
      </c>
      <c r="K42" s="1"/>
      <c r="L42" s="1"/>
      <c r="M42" s="1"/>
      <c r="N42" s="1"/>
      <c r="O42" s="1"/>
      <c r="P42" s="1"/>
      <c r="Q42" s="1"/>
      <c r="R42" s="1"/>
      <c r="S42" s="1"/>
      <c r="T42" s="1"/>
      <c r="U42" s="1"/>
      <c r="V42" s="1"/>
      <c r="W42" s="1"/>
      <c r="X42" s="1"/>
      <c r="Y42" s="1"/>
      <c r="Z42" s="1"/>
    </row>
    <row r="43" spans="1:26" ht="114">
      <c r="A43" s="11">
        <v>45757</v>
      </c>
      <c r="B43" s="11" t="s">
        <v>20</v>
      </c>
      <c r="C43" s="12" t="s">
        <v>25</v>
      </c>
      <c r="D43" s="12" t="s">
        <v>26</v>
      </c>
      <c r="E43" s="12" t="s">
        <v>27</v>
      </c>
      <c r="F43" s="12" t="s">
        <v>28</v>
      </c>
      <c r="G43" s="13" t="s">
        <v>59</v>
      </c>
      <c r="H43" s="14">
        <f t="shared" si="0"/>
        <v>6.25E-2</v>
      </c>
      <c r="I43" s="15">
        <v>0.66666666666666663</v>
      </c>
      <c r="J43" s="15">
        <v>0.72916666666666663</v>
      </c>
      <c r="K43" s="1"/>
      <c r="L43" s="1"/>
      <c r="M43" s="1"/>
      <c r="N43" s="1"/>
      <c r="O43" s="1"/>
      <c r="P43" s="1"/>
      <c r="Q43" s="1"/>
      <c r="R43" s="1"/>
      <c r="S43" s="1"/>
      <c r="T43" s="1"/>
      <c r="U43" s="1"/>
      <c r="V43" s="1"/>
      <c r="W43" s="1"/>
      <c r="X43" s="1"/>
      <c r="Y43" s="1"/>
      <c r="Z43" s="1"/>
    </row>
    <row r="44" spans="1:26" ht="13.8">
      <c r="A44" s="11">
        <v>45757</v>
      </c>
      <c r="B44" s="11" t="s">
        <v>20</v>
      </c>
      <c r="C44" s="12" t="s">
        <v>25</v>
      </c>
      <c r="D44" s="12" t="s">
        <v>26</v>
      </c>
      <c r="E44" s="12" t="s">
        <v>31</v>
      </c>
      <c r="F44" s="12" t="s">
        <v>28</v>
      </c>
      <c r="G44" s="13" t="s">
        <v>60</v>
      </c>
      <c r="H44" s="14">
        <f t="shared" si="0"/>
        <v>2.083333333333337E-2</v>
      </c>
      <c r="I44" s="15">
        <v>0.72916666666666663</v>
      </c>
      <c r="J44" s="15">
        <v>0.75</v>
      </c>
      <c r="K44" s="1"/>
      <c r="L44" s="1"/>
      <c r="M44" s="1"/>
      <c r="N44" s="1"/>
      <c r="O44" s="1"/>
      <c r="P44" s="1"/>
      <c r="Q44" s="1"/>
      <c r="R44" s="1"/>
      <c r="S44" s="1"/>
      <c r="T44" s="1"/>
      <c r="U44" s="1"/>
      <c r="V44" s="1"/>
      <c r="W44" s="1"/>
      <c r="X44" s="1"/>
      <c r="Y44" s="1"/>
      <c r="Z44" s="1"/>
    </row>
    <row r="45" spans="1:26" ht="25.8">
      <c r="A45" s="11">
        <v>45758</v>
      </c>
      <c r="B45" s="11" t="s">
        <v>21</v>
      </c>
      <c r="C45" s="12" t="s">
        <v>25</v>
      </c>
      <c r="D45" s="12" t="s">
        <v>26</v>
      </c>
      <c r="E45" s="12" t="s">
        <v>27</v>
      </c>
      <c r="F45" s="12" t="s">
        <v>28</v>
      </c>
      <c r="G45" s="13" t="s">
        <v>40</v>
      </c>
      <c r="H45" s="14">
        <f t="shared" si="0"/>
        <v>3.4722222222222654E-3</v>
      </c>
      <c r="I45" s="15">
        <v>0.33333333333333331</v>
      </c>
      <c r="J45" s="15">
        <v>0.33680555555555558</v>
      </c>
      <c r="K45" s="1"/>
      <c r="L45" s="1"/>
      <c r="M45" s="1"/>
      <c r="N45" s="1"/>
      <c r="O45" s="1"/>
      <c r="P45" s="1"/>
      <c r="Q45" s="1"/>
      <c r="R45" s="1"/>
      <c r="S45" s="1"/>
      <c r="T45" s="1"/>
      <c r="U45" s="1"/>
      <c r="V45" s="1"/>
      <c r="W45" s="1"/>
      <c r="X45" s="1"/>
      <c r="Y45" s="1"/>
      <c r="Z45" s="1"/>
    </row>
    <row r="46" spans="1:26" ht="38.4">
      <c r="A46" s="11">
        <v>45758</v>
      </c>
      <c r="B46" s="11" t="s">
        <v>21</v>
      </c>
      <c r="C46" s="12" t="s">
        <v>25</v>
      </c>
      <c r="D46" s="12" t="s">
        <v>26</v>
      </c>
      <c r="E46" s="12" t="s">
        <v>34</v>
      </c>
      <c r="F46" s="12" t="s">
        <v>28</v>
      </c>
      <c r="G46" s="13" t="s">
        <v>61</v>
      </c>
      <c r="H46" s="14">
        <f t="shared" si="0"/>
        <v>0.12152777777777773</v>
      </c>
      <c r="I46" s="15">
        <v>0.33680555555555558</v>
      </c>
      <c r="J46" s="15">
        <v>0.45833333333333331</v>
      </c>
      <c r="K46" s="1"/>
      <c r="L46" s="1"/>
      <c r="M46" s="1"/>
      <c r="N46" s="1"/>
      <c r="O46" s="1"/>
      <c r="P46" s="1"/>
      <c r="Q46" s="1"/>
      <c r="R46" s="1"/>
      <c r="S46" s="1"/>
      <c r="T46" s="1"/>
      <c r="U46" s="1"/>
      <c r="V46" s="1"/>
      <c r="W46" s="1"/>
      <c r="X46" s="1"/>
      <c r="Y46" s="1"/>
      <c r="Z46" s="1"/>
    </row>
    <row r="47" spans="1:26" ht="51">
      <c r="A47" s="11">
        <v>45758</v>
      </c>
      <c r="B47" s="11" t="s">
        <v>21</v>
      </c>
      <c r="C47" s="12" t="s">
        <v>25</v>
      </c>
      <c r="D47" s="12" t="s">
        <v>26</v>
      </c>
      <c r="E47" s="12" t="s">
        <v>27</v>
      </c>
      <c r="F47" s="12" t="s">
        <v>28</v>
      </c>
      <c r="G47" s="13" t="s">
        <v>62</v>
      </c>
      <c r="H47" s="14">
        <f t="shared" si="0"/>
        <v>2.083333333333337E-2</v>
      </c>
      <c r="I47" s="15">
        <v>0.45833333333333331</v>
      </c>
      <c r="J47" s="15">
        <v>0.47916666666666669</v>
      </c>
      <c r="K47" s="1"/>
      <c r="L47" s="1"/>
      <c r="M47" s="1"/>
      <c r="N47" s="1"/>
      <c r="O47" s="1"/>
      <c r="P47" s="1"/>
      <c r="Q47" s="1"/>
      <c r="R47" s="1"/>
      <c r="S47" s="1"/>
      <c r="T47" s="1"/>
      <c r="U47" s="1"/>
      <c r="V47" s="1"/>
      <c r="W47" s="1"/>
      <c r="X47" s="1"/>
      <c r="Y47" s="1"/>
      <c r="Z47" s="1"/>
    </row>
    <row r="48" spans="1:26" ht="25.8">
      <c r="A48" s="11">
        <v>45758</v>
      </c>
      <c r="B48" s="11" t="s">
        <v>21</v>
      </c>
      <c r="C48" s="12" t="s">
        <v>25</v>
      </c>
      <c r="D48" s="12" t="s">
        <v>26</v>
      </c>
      <c r="E48" s="12" t="s">
        <v>27</v>
      </c>
      <c r="F48" s="12" t="s">
        <v>28</v>
      </c>
      <c r="G48" s="13" t="s">
        <v>63</v>
      </c>
      <c r="H48" s="14">
        <f t="shared" si="0"/>
        <v>2.0833333333333315E-2</v>
      </c>
      <c r="I48" s="15">
        <v>0.47916666666666669</v>
      </c>
      <c r="J48" s="15">
        <v>0.5</v>
      </c>
      <c r="K48" s="1"/>
      <c r="L48" s="1"/>
      <c r="M48" s="1"/>
      <c r="N48" s="1"/>
      <c r="O48" s="1"/>
      <c r="P48" s="1"/>
      <c r="Q48" s="1"/>
      <c r="R48" s="1"/>
      <c r="S48" s="1"/>
      <c r="T48" s="1"/>
      <c r="U48" s="1"/>
      <c r="V48" s="1"/>
      <c r="W48" s="1"/>
      <c r="X48" s="1"/>
      <c r="Y48" s="1"/>
      <c r="Z48" s="1"/>
    </row>
    <row r="49" spans="1:26 16384:16384" ht="25.8">
      <c r="A49" s="11">
        <v>45758</v>
      </c>
      <c r="B49" s="11" t="s">
        <v>21</v>
      </c>
      <c r="C49" s="12" t="s">
        <v>25</v>
      </c>
      <c r="D49" s="12" t="s">
        <v>26</v>
      </c>
      <c r="E49" s="12" t="s">
        <v>27</v>
      </c>
      <c r="F49" s="12" t="s">
        <v>28</v>
      </c>
      <c r="G49" s="13" t="s">
        <v>64</v>
      </c>
      <c r="H49" s="14">
        <f t="shared" si="0"/>
        <v>2.083333333333337E-2</v>
      </c>
      <c r="I49" s="15">
        <v>0.54166666666666663</v>
      </c>
      <c r="J49" s="15">
        <v>0.5625</v>
      </c>
      <c r="K49" s="1"/>
      <c r="L49" s="1"/>
      <c r="M49" s="1"/>
      <c r="N49" s="1"/>
      <c r="O49" s="1"/>
      <c r="P49" s="1"/>
      <c r="Q49" s="1"/>
      <c r="R49" s="1"/>
      <c r="S49" s="1"/>
      <c r="T49" s="1"/>
      <c r="U49" s="1"/>
      <c r="V49" s="1"/>
      <c r="W49" s="1"/>
      <c r="X49" s="1"/>
      <c r="Y49" s="1"/>
      <c r="Z49" s="1"/>
    </row>
    <row r="50" spans="1:26 16384:16384" ht="63.6">
      <c r="A50" s="11">
        <v>45758</v>
      </c>
      <c r="B50" s="11" t="s">
        <v>21</v>
      </c>
      <c r="C50" s="12" t="s">
        <v>25</v>
      </c>
      <c r="D50" s="12" t="s">
        <v>26</v>
      </c>
      <c r="E50" s="12" t="s">
        <v>34</v>
      </c>
      <c r="F50" s="12" t="s">
        <v>28</v>
      </c>
      <c r="G50" s="13" t="s">
        <v>65</v>
      </c>
      <c r="H50" s="14">
        <f t="shared" si="0"/>
        <v>0.10416666666666663</v>
      </c>
      <c r="I50" s="15">
        <v>0.5625</v>
      </c>
      <c r="J50" s="15">
        <v>0.66666666666666663</v>
      </c>
      <c r="K50" s="1"/>
      <c r="L50" s="1"/>
      <c r="M50" s="1"/>
      <c r="N50" s="1"/>
      <c r="O50" s="1"/>
      <c r="P50" s="1"/>
      <c r="Q50" s="1"/>
      <c r="R50" s="1"/>
      <c r="S50" s="1"/>
      <c r="T50" s="1"/>
      <c r="U50" s="1"/>
      <c r="V50" s="1"/>
      <c r="W50" s="1"/>
      <c r="X50" s="1"/>
      <c r="Y50" s="1"/>
      <c r="Z50" s="1"/>
    </row>
    <row r="51" spans="1:26 16384:16384" ht="25.8">
      <c r="A51" s="11">
        <v>45758</v>
      </c>
      <c r="B51" s="11" t="s">
        <v>21</v>
      </c>
      <c r="C51" s="12" t="s">
        <v>25</v>
      </c>
      <c r="D51" s="12" t="s">
        <v>26</v>
      </c>
      <c r="E51" s="12" t="s">
        <v>27</v>
      </c>
      <c r="F51" s="12" t="s">
        <v>28</v>
      </c>
      <c r="G51" s="13" t="s">
        <v>66</v>
      </c>
      <c r="H51" s="14">
        <f t="shared" si="0"/>
        <v>6.25E-2</v>
      </c>
      <c r="I51" s="15">
        <v>0.66666666666666663</v>
      </c>
      <c r="J51" s="15">
        <v>0.72916666666666663</v>
      </c>
      <c r="K51" s="1"/>
      <c r="L51" s="1"/>
      <c r="M51" s="1"/>
      <c r="N51" s="1"/>
      <c r="O51" s="1"/>
      <c r="P51" s="1"/>
      <c r="Q51" s="1"/>
      <c r="R51" s="1"/>
      <c r="S51" s="1"/>
      <c r="T51" s="1"/>
      <c r="U51" s="1"/>
      <c r="V51" s="1"/>
      <c r="W51" s="1"/>
      <c r="X51" s="1"/>
      <c r="Y51" s="1"/>
      <c r="Z51" s="1"/>
      <c r="XFD51" t="s">
        <v>67</v>
      </c>
    </row>
    <row r="52" spans="1:26 16384:16384" ht="13.8">
      <c r="A52" s="16">
        <v>45759</v>
      </c>
      <c r="B52" s="16" t="s">
        <v>22</v>
      </c>
      <c r="C52" s="17"/>
      <c r="D52" s="17"/>
      <c r="E52" s="17"/>
      <c r="F52" s="17"/>
      <c r="G52" s="18"/>
      <c r="H52" s="19">
        <f t="shared" si="0"/>
        <v>0</v>
      </c>
      <c r="I52" s="20"/>
      <c r="J52" s="20"/>
      <c r="K52" s="1"/>
      <c r="L52" s="1"/>
      <c r="M52" s="1"/>
      <c r="N52" s="1"/>
      <c r="O52" s="1"/>
      <c r="P52" s="1"/>
      <c r="Q52" s="1"/>
      <c r="R52" s="1"/>
      <c r="S52" s="1"/>
      <c r="T52" s="1"/>
      <c r="U52" s="1"/>
      <c r="V52" s="1"/>
      <c r="W52" s="1"/>
      <c r="X52" s="1"/>
      <c r="Y52" s="1"/>
      <c r="Z52" s="1"/>
    </row>
    <row r="53" spans="1:26 16384:16384" ht="13.8">
      <c r="A53" s="16">
        <v>45760</v>
      </c>
      <c r="B53" s="16" t="s">
        <v>23</v>
      </c>
      <c r="C53" s="17"/>
      <c r="D53" s="17"/>
      <c r="E53" s="17"/>
      <c r="F53" s="17"/>
      <c r="G53" s="18"/>
      <c r="H53" s="19">
        <f t="shared" si="0"/>
        <v>0</v>
      </c>
      <c r="I53" s="20"/>
      <c r="J53" s="20"/>
      <c r="K53" s="1"/>
      <c r="L53" s="1"/>
      <c r="M53" s="1"/>
      <c r="N53" s="1"/>
      <c r="O53" s="1"/>
      <c r="P53" s="1"/>
      <c r="Q53" s="1"/>
      <c r="R53" s="1"/>
      <c r="S53" s="1"/>
      <c r="T53" s="1"/>
      <c r="U53" s="1"/>
      <c r="V53" s="1"/>
      <c r="W53" s="1"/>
      <c r="X53" s="1"/>
      <c r="Y53" s="1"/>
      <c r="Z53" s="1"/>
    </row>
    <row r="54" spans="1:26 16384:16384" ht="63.6">
      <c r="A54" s="11">
        <v>45761</v>
      </c>
      <c r="B54" s="11" t="s">
        <v>24</v>
      </c>
      <c r="C54" s="12" t="s">
        <v>25</v>
      </c>
      <c r="D54" s="12" t="s">
        <v>26</v>
      </c>
      <c r="E54" s="12" t="s">
        <v>27</v>
      </c>
      <c r="F54" s="12" t="s">
        <v>28</v>
      </c>
      <c r="G54" s="13" t="s">
        <v>68</v>
      </c>
      <c r="H54" s="14">
        <f t="shared" si="0"/>
        <v>3.4722222222222265E-2</v>
      </c>
      <c r="I54" s="15">
        <v>0.33333333333333331</v>
      </c>
      <c r="J54" s="15">
        <v>0.36805555555555558</v>
      </c>
      <c r="K54" s="1"/>
      <c r="L54" s="1"/>
      <c r="M54" s="1"/>
      <c r="N54" s="1"/>
      <c r="O54" s="1"/>
      <c r="P54" s="1"/>
      <c r="Q54" s="1"/>
      <c r="R54" s="1"/>
      <c r="S54" s="1"/>
      <c r="T54" s="1"/>
      <c r="U54" s="1"/>
      <c r="V54" s="1"/>
      <c r="W54" s="1"/>
      <c r="X54" s="1"/>
      <c r="Y54" s="1"/>
      <c r="Z54" s="1"/>
    </row>
    <row r="55" spans="1:26 16384:16384" ht="25.8">
      <c r="A55" s="11">
        <v>45761</v>
      </c>
      <c r="B55" s="11" t="s">
        <v>24</v>
      </c>
      <c r="C55" s="12" t="s">
        <v>25</v>
      </c>
      <c r="D55" s="12" t="s">
        <v>26</v>
      </c>
      <c r="E55" s="12" t="s">
        <v>69</v>
      </c>
      <c r="F55" s="12" t="s">
        <v>28</v>
      </c>
      <c r="G55" s="13" t="s">
        <v>70</v>
      </c>
      <c r="H55" s="14">
        <f t="shared" si="0"/>
        <v>6.9444444444444198E-3</v>
      </c>
      <c r="I55" s="15">
        <v>0.36805555555555558</v>
      </c>
      <c r="J55" s="15">
        <v>0.375</v>
      </c>
      <c r="K55" s="1"/>
      <c r="L55" s="1"/>
      <c r="M55" s="1"/>
      <c r="N55" s="1"/>
      <c r="O55" s="1"/>
      <c r="P55" s="1"/>
      <c r="Q55" s="1"/>
      <c r="R55" s="1"/>
      <c r="S55" s="1"/>
      <c r="T55" s="1"/>
      <c r="U55" s="1"/>
      <c r="V55" s="1"/>
      <c r="W55" s="1"/>
      <c r="X55" s="1"/>
      <c r="Y55" s="1"/>
      <c r="Z55" s="1"/>
    </row>
    <row r="56" spans="1:26 16384:16384" ht="38.4">
      <c r="A56" s="11">
        <v>45761</v>
      </c>
      <c r="B56" s="11" t="s">
        <v>24</v>
      </c>
      <c r="C56" s="12" t="s">
        <v>25</v>
      </c>
      <c r="D56" s="12" t="s">
        <v>26</v>
      </c>
      <c r="E56" s="103" t="s">
        <v>48</v>
      </c>
      <c r="F56" s="12" t="s">
        <v>28</v>
      </c>
      <c r="G56" s="13" t="s">
        <v>71</v>
      </c>
      <c r="H56" s="14">
        <f t="shared" si="0"/>
        <v>4.1666666666666685E-2</v>
      </c>
      <c r="I56" s="15">
        <v>0.375</v>
      </c>
      <c r="J56" s="15">
        <v>0.41666666666666669</v>
      </c>
      <c r="K56" s="1"/>
      <c r="L56" s="1"/>
      <c r="M56" s="1"/>
      <c r="N56" s="1"/>
      <c r="O56" s="1"/>
      <c r="P56" s="1"/>
      <c r="Q56" s="1"/>
      <c r="R56" s="1"/>
      <c r="S56" s="1"/>
      <c r="T56" s="1"/>
      <c r="U56" s="1"/>
      <c r="V56" s="1"/>
      <c r="W56" s="1"/>
      <c r="X56" s="1"/>
      <c r="Y56" s="1"/>
      <c r="Z56" s="1"/>
    </row>
    <row r="57" spans="1:26 16384:16384" ht="25.8">
      <c r="A57" s="11">
        <v>45761</v>
      </c>
      <c r="B57" s="11" t="s">
        <v>24</v>
      </c>
      <c r="C57" s="12" t="s">
        <v>25</v>
      </c>
      <c r="D57" s="12" t="s">
        <v>26</v>
      </c>
      <c r="E57" s="12" t="s">
        <v>34</v>
      </c>
      <c r="F57" s="12" t="s">
        <v>28</v>
      </c>
      <c r="G57" s="13" t="s">
        <v>72</v>
      </c>
      <c r="H57" s="14">
        <f t="shared" si="0"/>
        <v>4.166666666666663E-2</v>
      </c>
      <c r="I57" s="15">
        <v>0.41666666666666669</v>
      </c>
      <c r="J57" s="15">
        <v>0.45833333333333331</v>
      </c>
      <c r="K57" s="1"/>
      <c r="L57" s="1"/>
      <c r="M57" s="1"/>
      <c r="N57" s="1"/>
      <c r="O57" s="1"/>
      <c r="P57" s="1"/>
      <c r="Q57" s="1"/>
      <c r="R57" s="1"/>
      <c r="S57" s="1"/>
      <c r="T57" s="1"/>
      <c r="U57" s="1"/>
      <c r="V57" s="1"/>
      <c r="W57" s="1"/>
      <c r="X57" s="1"/>
      <c r="Y57" s="1"/>
      <c r="Z57" s="1"/>
    </row>
    <row r="58" spans="1:26 16384:16384" ht="76.2">
      <c r="A58" s="11">
        <v>45761</v>
      </c>
      <c r="B58" s="11" t="s">
        <v>24</v>
      </c>
      <c r="C58" s="12" t="s">
        <v>25</v>
      </c>
      <c r="D58" s="12" t="s">
        <v>26</v>
      </c>
      <c r="E58" s="12" t="s">
        <v>27</v>
      </c>
      <c r="F58" s="12" t="s">
        <v>28</v>
      </c>
      <c r="G58" s="13" t="s">
        <v>73</v>
      </c>
      <c r="H58" s="14">
        <f t="shared" si="0"/>
        <v>7.6388888888888895E-2</v>
      </c>
      <c r="I58" s="15">
        <v>0.45833333333333331</v>
      </c>
      <c r="J58" s="15">
        <v>0.53472222222222221</v>
      </c>
      <c r="K58" s="1"/>
      <c r="L58" s="1"/>
      <c r="M58" s="1"/>
      <c r="N58" s="1"/>
      <c r="O58" s="1"/>
      <c r="P58" s="1"/>
      <c r="Q58" s="1"/>
      <c r="R58" s="1"/>
      <c r="S58" s="1"/>
      <c r="T58" s="1"/>
      <c r="U58" s="1"/>
      <c r="V58" s="1"/>
      <c r="W58" s="1"/>
      <c r="X58" s="1"/>
      <c r="Y58" s="1"/>
      <c r="Z58" s="1"/>
    </row>
    <row r="59" spans="1:26 16384:16384" ht="38.4">
      <c r="A59" s="11">
        <v>45761</v>
      </c>
      <c r="B59" s="11" t="s">
        <v>24</v>
      </c>
      <c r="C59" s="12" t="s">
        <v>25</v>
      </c>
      <c r="D59" s="12" t="s">
        <v>26</v>
      </c>
      <c r="E59" s="12" t="s">
        <v>48</v>
      </c>
      <c r="F59" s="12" t="s">
        <v>28</v>
      </c>
      <c r="G59" s="13" t="s">
        <v>74</v>
      </c>
      <c r="H59" s="14">
        <f t="shared" si="0"/>
        <v>5.902777777777779E-2</v>
      </c>
      <c r="I59" s="15">
        <v>0.57638888888888884</v>
      </c>
      <c r="J59" s="15">
        <v>0.63541666666666663</v>
      </c>
      <c r="K59" s="1"/>
      <c r="L59" s="1"/>
      <c r="M59" s="1"/>
      <c r="N59" s="1"/>
      <c r="O59" s="1"/>
      <c r="P59" s="1"/>
      <c r="Q59" s="1"/>
      <c r="R59" s="1"/>
      <c r="S59" s="1"/>
      <c r="T59" s="1"/>
      <c r="U59" s="1"/>
      <c r="V59" s="1"/>
      <c r="W59" s="1"/>
      <c r="X59" s="1"/>
      <c r="Y59" s="1"/>
      <c r="Z59" s="1"/>
    </row>
    <row r="60" spans="1:26 16384:16384" ht="51">
      <c r="A60" s="11">
        <v>45761</v>
      </c>
      <c r="B60" s="11" t="s">
        <v>24</v>
      </c>
      <c r="C60" s="12" t="s">
        <v>25</v>
      </c>
      <c r="D60" s="12" t="s">
        <v>26</v>
      </c>
      <c r="E60" s="12" t="s">
        <v>27</v>
      </c>
      <c r="F60" s="12" t="s">
        <v>28</v>
      </c>
      <c r="G60" s="13" t="s">
        <v>75</v>
      </c>
      <c r="H60" s="14">
        <f t="shared" si="0"/>
        <v>2.083333333333337E-2</v>
      </c>
      <c r="I60" s="15">
        <v>0.63541666666666663</v>
      </c>
      <c r="J60" s="15">
        <v>0.65625</v>
      </c>
      <c r="K60" s="1"/>
      <c r="L60" s="1"/>
      <c r="M60" s="1"/>
      <c r="N60" s="1"/>
      <c r="O60" s="1"/>
      <c r="P60" s="1"/>
      <c r="Q60" s="1"/>
      <c r="R60" s="1"/>
      <c r="S60" s="1"/>
      <c r="T60" s="1"/>
      <c r="U60" s="1"/>
      <c r="V60" s="1"/>
      <c r="W60" s="1"/>
      <c r="X60" s="1"/>
      <c r="Y60" s="1"/>
      <c r="Z60" s="1"/>
    </row>
    <row r="61" spans="1:26 16384:16384" ht="13.8">
      <c r="A61" s="11">
        <v>45761</v>
      </c>
      <c r="B61" s="11" t="s">
        <v>24</v>
      </c>
      <c r="C61" s="12" t="s">
        <v>25</v>
      </c>
      <c r="D61" s="12" t="s">
        <v>26</v>
      </c>
      <c r="E61" s="12" t="s">
        <v>34</v>
      </c>
      <c r="F61" s="12" t="s">
        <v>28</v>
      </c>
      <c r="G61" s="13" t="s">
        <v>76</v>
      </c>
      <c r="H61" s="14">
        <f t="shared" si="0"/>
        <v>1.041666666666663E-2</v>
      </c>
      <c r="I61" s="15">
        <v>0.65625</v>
      </c>
      <c r="J61" s="15">
        <v>0.66666666666666663</v>
      </c>
      <c r="K61" s="1"/>
      <c r="L61" s="1"/>
      <c r="M61" s="1"/>
      <c r="N61" s="1"/>
      <c r="O61" s="1"/>
      <c r="P61" s="1"/>
      <c r="Q61" s="1"/>
      <c r="R61" s="1"/>
      <c r="S61" s="1"/>
      <c r="T61" s="1"/>
      <c r="U61" s="1"/>
      <c r="V61" s="1"/>
      <c r="W61" s="1"/>
      <c r="X61" s="1"/>
      <c r="Y61" s="1"/>
      <c r="Z61" s="1"/>
    </row>
    <row r="62" spans="1:26 16384:16384" ht="51">
      <c r="A62" s="11">
        <v>45761</v>
      </c>
      <c r="B62" s="11" t="s">
        <v>24</v>
      </c>
      <c r="C62" s="12" t="s">
        <v>25</v>
      </c>
      <c r="D62" s="12" t="s">
        <v>26</v>
      </c>
      <c r="E62" s="12" t="s">
        <v>27</v>
      </c>
      <c r="F62" s="12" t="s">
        <v>28</v>
      </c>
      <c r="G62" s="13" t="s">
        <v>77</v>
      </c>
      <c r="H62" s="14">
        <f t="shared" si="0"/>
        <v>7.6388888888888951E-2</v>
      </c>
      <c r="I62" s="15">
        <v>0.66666666666666663</v>
      </c>
      <c r="J62" s="15">
        <v>0.74305555555555558</v>
      </c>
      <c r="K62" s="1"/>
      <c r="L62" s="1"/>
      <c r="M62" s="1"/>
      <c r="N62" s="1"/>
      <c r="O62" s="1"/>
      <c r="P62" s="1"/>
      <c r="Q62" s="1"/>
      <c r="R62" s="1"/>
      <c r="S62" s="1"/>
      <c r="T62" s="1"/>
      <c r="U62" s="1"/>
      <c r="V62" s="1"/>
      <c r="W62" s="1"/>
      <c r="X62" s="1"/>
      <c r="Y62" s="1"/>
      <c r="Z62" s="1"/>
    </row>
    <row r="63" spans="1:26 16384:16384" ht="76.2">
      <c r="A63" s="11">
        <v>45762</v>
      </c>
      <c r="B63" s="11" t="s">
        <v>13</v>
      </c>
      <c r="C63" s="12" t="s">
        <v>25</v>
      </c>
      <c r="D63" s="12" t="s">
        <v>26</v>
      </c>
      <c r="E63" s="12" t="s">
        <v>27</v>
      </c>
      <c r="F63" s="12" t="s">
        <v>28</v>
      </c>
      <c r="G63" s="13" t="s">
        <v>78</v>
      </c>
      <c r="H63" s="14">
        <f t="shared" si="0"/>
        <v>3.125E-2</v>
      </c>
      <c r="I63" s="15">
        <v>0.33333333333333331</v>
      </c>
      <c r="J63" s="15">
        <v>0.36458333333333331</v>
      </c>
      <c r="K63" s="1"/>
      <c r="L63" s="1"/>
      <c r="M63" s="1"/>
      <c r="N63" s="1"/>
      <c r="O63" s="1"/>
      <c r="P63" s="1"/>
      <c r="Q63" s="1"/>
      <c r="R63" s="1"/>
      <c r="S63" s="1"/>
      <c r="T63" s="1"/>
      <c r="U63" s="1"/>
      <c r="V63" s="1"/>
      <c r="W63" s="1"/>
      <c r="X63" s="1"/>
      <c r="Y63" s="1"/>
      <c r="Z63" s="1"/>
    </row>
    <row r="64" spans="1:26 16384:16384" ht="38.4">
      <c r="A64" s="11">
        <v>45762</v>
      </c>
      <c r="B64" s="11" t="s">
        <v>13</v>
      </c>
      <c r="C64" s="12" t="s">
        <v>25</v>
      </c>
      <c r="D64" s="12" t="s">
        <v>26</v>
      </c>
      <c r="E64" s="12" t="s">
        <v>48</v>
      </c>
      <c r="F64" s="12" t="s">
        <v>28</v>
      </c>
      <c r="G64" s="13" t="s">
        <v>79</v>
      </c>
      <c r="H64" s="14">
        <f t="shared" si="0"/>
        <v>1.0416666666666685E-2</v>
      </c>
      <c r="I64" s="15">
        <v>0.36458333333333331</v>
      </c>
      <c r="J64" s="15">
        <v>0.375</v>
      </c>
      <c r="K64" s="1"/>
      <c r="L64" s="1"/>
      <c r="M64" s="1"/>
      <c r="N64" s="1"/>
      <c r="O64" s="1"/>
      <c r="P64" s="1"/>
      <c r="Q64" s="1"/>
      <c r="R64" s="1"/>
      <c r="S64" s="1"/>
      <c r="T64" s="1"/>
      <c r="U64" s="1"/>
      <c r="V64" s="1"/>
      <c r="W64" s="1"/>
      <c r="X64" s="1"/>
      <c r="Y64" s="1"/>
      <c r="Z64" s="1"/>
    </row>
    <row r="65" spans="1:26" ht="38.4">
      <c r="A65" s="11">
        <v>45762</v>
      </c>
      <c r="B65" s="11" t="s">
        <v>13</v>
      </c>
      <c r="C65" s="12" t="s">
        <v>25</v>
      </c>
      <c r="D65" s="12" t="s">
        <v>26</v>
      </c>
      <c r="E65" s="12" t="s">
        <v>27</v>
      </c>
      <c r="F65" s="12" t="s">
        <v>28</v>
      </c>
      <c r="G65" s="13" t="s">
        <v>80</v>
      </c>
      <c r="H65" s="14">
        <f t="shared" si="0"/>
        <v>4.1666666666666685E-2</v>
      </c>
      <c r="I65" s="15">
        <v>0.375</v>
      </c>
      <c r="J65" s="15">
        <v>0.41666666666666669</v>
      </c>
      <c r="K65" s="1"/>
      <c r="L65" s="1"/>
      <c r="M65" s="1"/>
      <c r="N65" s="1"/>
      <c r="O65" s="1"/>
      <c r="P65" s="1"/>
      <c r="Q65" s="1"/>
      <c r="R65" s="1"/>
      <c r="S65" s="1"/>
      <c r="T65" s="1"/>
      <c r="U65" s="1"/>
      <c r="V65" s="1"/>
      <c r="W65" s="1"/>
      <c r="X65" s="1"/>
      <c r="Y65" s="1"/>
      <c r="Z65" s="1"/>
    </row>
    <row r="66" spans="1:26" ht="51">
      <c r="A66" s="11">
        <v>45762</v>
      </c>
      <c r="B66" s="11" t="s">
        <v>13</v>
      </c>
      <c r="C66" s="12" t="s">
        <v>25</v>
      </c>
      <c r="D66" s="12" t="s">
        <v>26</v>
      </c>
      <c r="E66" s="12" t="s">
        <v>48</v>
      </c>
      <c r="F66" s="12" t="s">
        <v>28</v>
      </c>
      <c r="G66" s="13" t="s">
        <v>81</v>
      </c>
      <c r="H66" s="14">
        <f t="shared" si="0"/>
        <v>8.3333333333333315E-2</v>
      </c>
      <c r="I66" s="15">
        <v>0.41666666666666669</v>
      </c>
      <c r="J66" s="15">
        <v>0.5</v>
      </c>
      <c r="K66" s="1"/>
      <c r="L66" s="1"/>
      <c r="M66" s="1"/>
      <c r="N66" s="1"/>
      <c r="O66" s="1"/>
      <c r="P66" s="1"/>
      <c r="Q66" s="1"/>
      <c r="R66" s="1"/>
      <c r="S66" s="1"/>
      <c r="T66" s="1"/>
      <c r="U66" s="1"/>
      <c r="V66" s="1"/>
      <c r="W66" s="1"/>
      <c r="X66" s="1"/>
      <c r="Y66" s="1"/>
      <c r="Z66" s="1"/>
    </row>
    <row r="67" spans="1:26" ht="25.8">
      <c r="A67" s="11">
        <v>45762</v>
      </c>
      <c r="B67" s="11" t="s">
        <v>13</v>
      </c>
      <c r="C67" s="12" t="s">
        <v>25</v>
      </c>
      <c r="D67" s="12" t="s">
        <v>26</v>
      </c>
      <c r="E67" s="12" t="s">
        <v>27</v>
      </c>
      <c r="F67" s="12" t="s">
        <v>28</v>
      </c>
      <c r="G67" s="13" t="s">
        <v>82</v>
      </c>
      <c r="H67" s="14">
        <f t="shared" si="0"/>
        <v>8.3333333333334147E-3</v>
      </c>
      <c r="I67" s="15">
        <v>0.54166666666666663</v>
      </c>
      <c r="J67" s="15">
        <v>0.55000000000000004</v>
      </c>
      <c r="K67" s="1"/>
      <c r="L67" s="1"/>
      <c r="M67" s="1"/>
      <c r="N67" s="1"/>
      <c r="O67" s="1"/>
      <c r="P67" s="1"/>
      <c r="Q67" s="1"/>
      <c r="R67" s="1"/>
      <c r="S67" s="1"/>
      <c r="T67" s="1"/>
      <c r="U67" s="1"/>
      <c r="V67" s="1"/>
      <c r="W67" s="1"/>
      <c r="X67" s="1"/>
      <c r="Y67" s="1"/>
      <c r="Z67" s="1"/>
    </row>
    <row r="68" spans="1:26" ht="38.4">
      <c r="A68" s="11">
        <v>45762</v>
      </c>
      <c r="B68" s="11" t="s">
        <v>13</v>
      </c>
      <c r="C68" s="12" t="s">
        <v>25</v>
      </c>
      <c r="D68" s="12" t="s">
        <v>26</v>
      </c>
      <c r="E68" s="12" t="s">
        <v>48</v>
      </c>
      <c r="F68" s="12" t="s">
        <v>28</v>
      </c>
      <c r="G68" s="13" t="s">
        <v>83</v>
      </c>
      <c r="H68" s="14">
        <f t="shared" si="0"/>
        <v>8.5416666666666585E-2</v>
      </c>
      <c r="I68" s="15">
        <v>0.55000000000000004</v>
      </c>
      <c r="J68" s="15">
        <v>0.63541666666666663</v>
      </c>
      <c r="K68" s="1"/>
      <c r="L68" s="1"/>
      <c r="M68" s="1"/>
      <c r="N68" s="1"/>
      <c r="O68" s="1"/>
      <c r="P68" s="1"/>
      <c r="Q68" s="1"/>
      <c r="R68" s="1"/>
      <c r="S68" s="1"/>
      <c r="T68" s="1"/>
      <c r="U68" s="1"/>
      <c r="V68" s="1"/>
      <c r="W68" s="1"/>
      <c r="X68" s="1"/>
      <c r="Y68" s="1"/>
      <c r="Z68" s="1"/>
    </row>
    <row r="69" spans="1:26" ht="51">
      <c r="A69" s="11">
        <v>45762</v>
      </c>
      <c r="B69" s="11" t="s">
        <v>13</v>
      </c>
      <c r="C69" s="12" t="s">
        <v>25</v>
      </c>
      <c r="D69" s="12" t="s">
        <v>26</v>
      </c>
      <c r="E69" s="12" t="s">
        <v>27</v>
      </c>
      <c r="F69" s="12" t="s">
        <v>28</v>
      </c>
      <c r="G69" s="13" t="s">
        <v>84</v>
      </c>
      <c r="H69" s="14">
        <f t="shared" si="0"/>
        <v>2.083333333333337E-2</v>
      </c>
      <c r="I69" s="15">
        <v>0.63541666666666663</v>
      </c>
      <c r="J69" s="15">
        <v>0.65625</v>
      </c>
      <c r="K69" s="1"/>
      <c r="L69" s="1"/>
      <c r="M69" s="1"/>
      <c r="N69" s="1"/>
      <c r="O69" s="1"/>
      <c r="P69" s="1"/>
      <c r="Q69" s="1"/>
      <c r="R69" s="1"/>
      <c r="S69" s="1"/>
      <c r="T69" s="1"/>
      <c r="U69" s="1"/>
      <c r="V69" s="1"/>
      <c r="W69" s="1"/>
      <c r="X69" s="1"/>
      <c r="Y69" s="1"/>
      <c r="Z69" s="1"/>
    </row>
    <row r="70" spans="1:26" ht="13.8">
      <c r="A70" s="11">
        <v>45762</v>
      </c>
      <c r="B70" s="11" t="s">
        <v>13</v>
      </c>
      <c r="C70" s="12" t="s">
        <v>25</v>
      </c>
      <c r="D70" s="12" t="s">
        <v>26</v>
      </c>
      <c r="E70" s="12" t="s">
        <v>31</v>
      </c>
      <c r="F70" s="12" t="s">
        <v>28</v>
      </c>
      <c r="G70" s="13" t="s">
        <v>85</v>
      </c>
      <c r="H70" s="14">
        <f t="shared" si="0"/>
        <v>1.041666666666663E-2</v>
      </c>
      <c r="I70" s="15">
        <v>0.65625</v>
      </c>
      <c r="J70" s="15">
        <v>0.66666666666666663</v>
      </c>
      <c r="K70" s="1"/>
      <c r="L70" s="1"/>
      <c r="M70" s="1"/>
      <c r="N70" s="1"/>
      <c r="O70" s="1"/>
      <c r="P70" s="1"/>
      <c r="Q70" s="1"/>
      <c r="R70" s="1"/>
      <c r="S70" s="1"/>
      <c r="T70" s="1"/>
      <c r="U70" s="1"/>
      <c r="V70" s="1"/>
      <c r="W70" s="1"/>
      <c r="X70" s="1"/>
      <c r="Y70" s="1"/>
      <c r="Z70" s="1"/>
    </row>
    <row r="71" spans="1:26" ht="38.4">
      <c r="A71" s="11">
        <v>45762</v>
      </c>
      <c r="B71" s="11" t="s">
        <v>13</v>
      </c>
      <c r="C71" s="12" t="s">
        <v>25</v>
      </c>
      <c r="D71" s="12" t="s">
        <v>26</v>
      </c>
      <c r="E71" s="12" t="s">
        <v>27</v>
      </c>
      <c r="F71" s="12" t="s">
        <v>28</v>
      </c>
      <c r="G71" s="13" t="s">
        <v>86</v>
      </c>
      <c r="H71" s="14">
        <f t="shared" si="0"/>
        <v>2.5000000000000022E-2</v>
      </c>
      <c r="I71" s="15">
        <v>0.66666666666666663</v>
      </c>
      <c r="J71" s="15">
        <v>0.69166666666666665</v>
      </c>
      <c r="K71" s="1"/>
      <c r="L71" s="1"/>
      <c r="M71" s="1"/>
      <c r="N71" s="1"/>
      <c r="O71" s="1"/>
      <c r="P71" s="1"/>
      <c r="Q71" s="1"/>
      <c r="R71" s="1"/>
      <c r="S71" s="1"/>
      <c r="T71" s="1"/>
      <c r="U71" s="1"/>
      <c r="V71" s="1"/>
      <c r="W71" s="1"/>
      <c r="X71" s="1"/>
      <c r="Y71" s="1"/>
      <c r="Z71" s="1"/>
    </row>
    <row r="72" spans="1:26" ht="13.8">
      <c r="A72" s="11">
        <v>45762</v>
      </c>
      <c r="B72" s="11" t="s">
        <v>13</v>
      </c>
      <c r="C72" s="12" t="s">
        <v>25</v>
      </c>
      <c r="D72" s="12" t="s">
        <v>26</v>
      </c>
      <c r="E72" s="12" t="s">
        <v>34</v>
      </c>
      <c r="F72" s="12" t="s">
        <v>28</v>
      </c>
      <c r="G72" s="13" t="s">
        <v>87</v>
      </c>
      <c r="H72" s="14">
        <f t="shared" si="0"/>
        <v>3.7499999999999978E-2</v>
      </c>
      <c r="I72" s="105">
        <v>0.69166666666666665</v>
      </c>
      <c r="J72" s="105">
        <v>0.72916666666666663</v>
      </c>
      <c r="K72" s="1"/>
      <c r="L72" s="1"/>
      <c r="M72" s="1"/>
      <c r="N72" s="1"/>
      <c r="O72" s="1"/>
      <c r="P72" s="1"/>
      <c r="Q72" s="1"/>
      <c r="R72" s="1"/>
      <c r="S72" s="1"/>
      <c r="T72" s="1"/>
      <c r="U72" s="1"/>
      <c r="V72" s="1"/>
      <c r="W72" s="1"/>
      <c r="X72" s="1"/>
      <c r="Y72" s="1"/>
      <c r="Z72" s="1"/>
    </row>
    <row r="73" spans="1:26" ht="51">
      <c r="A73" s="11">
        <v>45763</v>
      </c>
      <c r="B73" s="11" t="s">
        <v>19</v>
      </c>
      <c r="C73" s="12" t="s">
        <v>25</v>
      </c>
      <c r="D73" s="12" t="s">
        <v>26</v>
      </c>
      <c r="E73" s="12" t="s">
        <v>27</v>
      </c>
      <c r="F73" s="12" t="s">
        <v>28</v>
      </c>
      <c r="G73" s="13" t="s">
        <v>88</v>
      </c>
      <c r="H73" s="104">
        <f t="shared" si="0"/>
        <v>2.2222222222222254E-2</v>
      </c>
      <c r="I73" s="106">
        <v>0.33333333333333331</v>
      </c>
      <c r="J73" s="106">
        <v>0.35555555555555557</v>
      </c>
      <c r="K73" s="1"/>
      <c r="L73" s="1"/>
      <c r="M73" s="1"/>
      <c r="N73" s="1"/>
      <c r="O73" s="1"/>
      <c r="P73" s="1"/>
      <c r="Q73" s="1"/>
      <c r="R73" s="1"/>
      <c r="S73" s="1"/>
      <c r="T73" s="1"/>
      <c r="U73" s="1"/>
      <c r="V73" s="1"/>
      <c r="W73" s="1"/>
      <c r="X73" s="1"/>
      <c r="Y73" s="1"/>
      <c r="Z73" s="1"/>
    </row>
    <row r="74" spans="1:26" ht="38.4">
      <c r="A74" s="11">
        <v>45763</v>
      </c>
      <c r="B74" s="11" t="s">
        <v>19</v>
      </c>
      <c r="C74" s="12" t="s">
        <v>25</v>
      </c>
      <c r="D74" s="12" t="s">
        <v>26</v>
      </c>
      <c r="E74" s="12" t="s">
        <v>34</v>
      </c>
      <c r="F74" s="12" t="s">
        <v>28</v>
      </c>
      <c r="G74" s="13" t="s">
        <v>89</v>
      </c>
      <c r="H74" s="104">
        <f t="shared" si="0"/>
        <v>6.1111111111111116E-2</v>
      </c>
      <c r="I74" s="106">
        <v>0.35555555555555557</v>
      </c>
      <c r="J74" s="106">
        <v>0.41666666666666669</v>
      </c>
      <c r="K74" s="1"/>
      <c r="L74" s="1"/>
      <c r="M74" s="1"/>
      <c r="N74" s="1"/>
      <c r="O74" s="1"/>
      <c r="P74" s="1"/>
      <c r="Q74" s="1"/>
      <c r="R74" s="1"/>
      <c r="S74" s="1"/>
      <c r="T74" s="1"/>
      <c r="U74" s="1"/>
      <c r="V74" s="1"/>
      <c r="W74" s="1"/>
      <c r="X74" s="1"/>
      <c r="Y74" s="1"/>
      <c r="Z74" s="1"/>
    </row>
    <row r="75" spans="1:26" ht="38.4">
      <c r="A75" s="11">
        <v>45763</v>
      </c>
      <c r="B75" s="11" t="s">
        <v>19</v>
      </c>
      <c r="C75" s="12" t="s">
        <v>25</v>
      </c>
      <c r="D75" s="12" t="s">
        <v>26</v>
      </c>
      <c r="E75" s="12" t="s">
        <v>27</v>
      </c>
      <c r="F75" s="12" t="s">
        <v>28</v>
      </c>
      <c r="G75" s="13" t="s">
        <v>90</v>
      </c>
      <c r="H75" s="104">
        <f t="shared" si="0"/>
        <v>2.0833333333333315E-2</v>
      </c>
      <c r="I75" s="106">
        <v>0.41666666666666669</v>
      </c>
      <c r="J75" s="106">
        <v>0.4375</v>
      </c>
      <c r="K75" s="1"/>
      <c r="L75" s="1"/>
      <c r="M75" s="1"/>
      <c r="N75" s="1"/>
      <c r="O75" s="1"/>
      <c r="P75" s="1"/>
      <c r="Q75" s="1"/>
      <c r="R75" s="1"/>
      <c r="S75" s="1"/>
      <c r="T75" s="1"/>
      <c r="U75" s="1"/>
      <c r="V75" s="1"/>
      <c r="W75" s="1"/>
      <c r="X75" s="1"/>
      <c r="Y75" s="1"/>
      <c r="Z75" s="1"/>
    </row>
    <row r="76" spans="1:26" ht="38.4">
      <c r="A76" s="11">
        <v>45763</v>
      </c>
      <c r="B76" s="11" t="s">
        <v>19</v>
      </c>
      <c r="C76" s="12" t="s">
        <v>25</v>
      </c>
      <c r="D76" s="12" t="s">
        <v>26</v>
      </c>
      <c r="E76" s="12" t="s">
        <v>27</v>
      </c>
      <c r="F76" s="12" t="s">
        <v>28</v>
      </c>
      <c r="G76" s="107" t="s">
        <v>91</v>
      </c>
      <c r="H76" s="104">
        <f t="shared" si="0"/>
        <v>2.430555555555558E-2</v>
      </c>
      <c r="I76" s="106">
        <v>0.4375</v>
      </c>
      <c r="J76" s="106">
        <v>0.46180555555555558</v>
      </c>
      <c r="K76" s="1"/>
      <c r="L76" s="1"/>
      <c r="M76" s="1"/>
      <c r="N76" s="1"/>
      <c r="O76" s="1"/>
      <c r="P76" s="1"/>
      <c r="Q76" s="1"/>
      <c r="R76" s="1"/>
      <c r="S76" s="1"/>
      <c r="T76" s="1"/>
      <c r="U76" s="1"/>
      <c r="V76" s="1"/>
      <c r="W76" s="1"/>
      <c r="X76" s="1"/>
      <c r="Y76" s="1"/>
      <c r="Z76" s="1"/>
    </row>
    <row r="77" spans="1:26" ht="13.8">
      <c r="A77" s="11">
        <v>45763</v>
      </c>
      <c r="B77" s="11" t="s">
        <v>19</v>
      </c>
      <c r="C77" s="12" t="s">
        <v>25</v>
      </c>
      <c r="D77" s="12" t="s">
        <v>26</v>
      </c>
      <c r="E77" s="12" t="s">
        <v>34</v>
      </c>
      <c r="F77" s="12" t="s">
        <v>28</v>
      </c>
      <c r="G77" s="13" t="s">
        <v>92</v>
      </c>
      <c r="H77" s="104">
        <f t="shared" si="0"/>
        <v>3.819444444444442E-2</v>
      </c>
      <c r="I77" s="106">
        <v>0.46180555555555558</v>
      </c>
      <c r="J77" s="106">
        <v>0.5</v>
      </c>
      <c r="K77" s="1"/>
      <c r="L77" s="1"/>
      <c r="M77" s="1"/>
      <c r="N77" s="1"/>
      <c r="O77" s="1"/>
      <c r="P77" s="1"/>
      <c r="Q77" s="1"/>
      <c r="R77" s="1"/>
      <c r="S77" s="1"/>
      <c r="T77" s="1"/>
      <c r="U77" s="1"/>
      <c r="V77" s="1"/>
      <c r="W77" s="1"/>
      <c r="X77" s="1"/>
      <c r="Y77" s="1"/>
      <c r="Z77" s="1"/>
    </row>
    <row r="78" spans="1:26" ht="25.8">
      <c r="A78" s="11">
        <v>45763</v>
      </c>
      <c r="B78" s="11" t="s">
        <v>19</v>
      </c>
      <c r="C78" s="12" t="s">
        <v>25</v>
      </c>
      <c r="D78" s="12" t="s">
        <v>26</v>
      </c>
      <c r="E78" s="12" t="s">
        <v>27</v>
      </c>
      <c r="F78" s="12" t="s">
        <v>28</v>
      </c>
      <c r="G78" s="13" t="s">
        <v>93</v>
      </c>
      <c r="H78" s="104">
        <f t="shared" si="0"/>
        <v>2.083333333333337E-2</v>
      </c>
      <c r="I78" s="106">
        <v>0.54166666666666663</v>
      </c>
      <c r="J78" s="106">
        <v>0.5625</v>
      </c>
      <c r="K78" s="1"/>
      <c r="L78" s="1"/>
      <c r="M78" s="1"/>
      <c r="N78" s="1"/>
      <c r="O78" s="1"/>
      <c r="P78" s="1"/>
      <c r="Q78" s="1"/>
      <c r="R78" s="1"/>
      <c r="S78" s="1"/>
      <c r="T78" s="1"/>
      <c r="U78" s="1"/>
      <c r="V78" s="1"/>
      <c r="W78" s="1"/>
      <c r="X78" s="1"/>
      <c r="Y78" s="1"/>
      <c r="Z78" s="1"/>
    </row>
    <row r="79" spans="1:26" ht="25.8">
      <c r="A79" s="11">
        <v>45763</v>
      </c>
      <c r="B79" s="11" t="s">
        <v>19</v>
      </c>
      <c r="C79" s="12" t="s">
        <v>25</v>
      </c>
      <c r="D79" s="12" t="s">
        <v>26</v>
      </c>
      <c r="E79" s="114" t="s">
        <v>27</v>
      </c>
      <c r="F79" s="12" t="s">
        <v>28</v>
      </c>
      <c r="G79" s="13" t="s">
        <v>94</v>
      </c>
      <c r="H79" s="104">
        <f>J79-I79</f>
        <v>2.083333333333337E-2</v>
      </c>
      <c r="I79" s="106">
        <v>0.5625</v>
      </c>
      <c r="J79" s="106">
        <v>0.58333333333333337</v>
      </c>
      <c r="K79" s="1"/>
      <c r="L79" s="1"/>
      <c r="M79" s="1"/>
      <c r="N79" s="1"/>
      <c r="O79" s="1"/>
      <c r="P79" s="1"/>
      <c r="Q79" s="1"/>
      <c r="R79" s="1"/>
      <c r="S79" s="1"/>
      <c r="T79" s="1"/>
      <c r="U79" s="1"/>
      <c r="V79" s="1"/>
      <c r="W79" s="1"/>
      <c r="X79" s="1"/>
      <c r="Y79" s="1"/>
      <c r="Z79" s="1"/>
    </row>
    <row r="80" spans="1:26" ht="51">
      <c r="A80" s="11">
        <v>45763</v>
      </c>
      <c r="B80" s="11" t="s">
        <v>19</v>
      </c>
      <c r="C80" s="114" t="s">
        <v>25</v>
      </c>
      <c r="D80" s="116" t="s">
        <v>26</v>
      </c>
      <c r="E80" s="117" t="s">
        <v>34</v>
      </c>
      <c r="F80" s="113" t="s">
        <v>28</v>
      </c>
      <c r="G80" s="13" t="s">
        <v>95</v>
      </c>
      <c r="H80" s="108">
        <f>J80-I80</f>
        <v>7.291666666666663E-2</v>
      </c>
      <c r="I80" s="106">
        <v>0.58333333333333337</v>
      </c>
      <c r="J80" s="106">
        <v>0.65625</v>
      </c>
      <c r="K80" s="1"/>
      <c r="L80" s="1"/>
      <c r="M80" s="1"/>
      <c r="N80" s="1"/>
      <c r="O80" s="1"/>
      <c r="P80" s="1"/>
      <c r="Q80" s="1"/>
      <c r="R80" s="1"/>
      <c r="S80" s="1"/>
      <c r="T80" s="1"/>
      <c r="U80" s="1"/>
      <c r="V80" s="1"/>
      <c r="W80" s="1"/>
      <c r="X80" s="1"/>
      <c r="Y80" s="1"/>
      <c r="Z80" s="1"/>
    </row>
    <row r="81" spans="1:26" ht="38.4">
      <c r="A81" s="11">
        <v>45763</v>
      </c>
      <c r="B81" s="11" t="s">
        <v>19</v>
      </c>
      <c r="C81" s="114" t="s">
        <v>25</v>
      </c>
      <c r="D81" s="116" t="s">
        <v>26</v>
      </c>
      <c r="E81" s="117" t="s">
        <v>27</v>
      </c>
      <c r="F81" s="113" t="s">
        <v>28</v>
      </c>
      <c r="G81" s="118" t="s">
        <v>96</v>
      </c>
      <c r="H81" s="111">
        <f>J81-I81</f>
        <v>3.819444444444442E-2</v>
      </c>
      <c r="I81" s="106">
        <v>0.65625</v>
      </c>
      <c r="J81" s="106">
        <v>0.69444444444444442</v>
      </c>
      <c r="K81" s="1"/>
      <c r="L81" s="1"/>
      <c r="M81" s="1"/>
      <c r="N81" s="1"/>
      <c r="O81" s="1"/>
      <c r="P81" s="1"/>
      <c r="Q81" s="1"/>
      <c r="R81" s="1"/>
      <c r="S81" s="1"/>
      <c r="T81" s="1"/>
      <c r="U81" s="1"/>
      <c r="V81" s="1"/>
      <c r="W81" s="1"/>
      <c r="X81" s="1"/>
      <c r="Y81" s="1"/>
      <c r="Z81" s="1"/>
    </row>
    <row r="82" spans="1:26" ht="25.8">
      <c r="A82" s="11">
        <v>45763</v>
      </c>
      <c r="B82" s="11" t="s">
        <v>19</v>
      </c>
      <c r="C82" s="114" t="s">
        <v>25</v>
      </c>
      <c r="D82" s="116" t="s">
        <v>26</v>
      </c>
      <c r="E82" s="117" t="s">
        <v>34</v>
      </c>
      <c r="F82" s="116" t="s">
        <v>28</v>
      </c>
      <c r="G82" s="120" t="s">
        <v>97</v>
      </c>
      <c r="H82" s="111">
        <f>J82-I82</f>
        <v>3.472222222222221E-2</v>
      </c>
      <c r="I82" s="106">
        <v>0.69444444444444442</v>
      </c>
      <c r="J82" s="106">
        <v>0.72916666666666663</v>
      </c>
      <c r="K82" s="1"/>
      <c r="L82" s="1"/>
      <c r="M82" s="1"/>
      <c r="N82" s="1"/>
      <c r="O82" s="1"/>
      <c r="P82" s="1"/>
      <c r="Q82" s="1"/>
      <c r="R82" s="1"/>
      <c r="S82" s="1"/>
      <c r="T82" s="1"/>
      <c r="U82" s="1"/>
      <c r="V82" s="1"/>
      <c r="W82" s="1"/>
      <c r="X82" s="1"/>
      <c r="Y82" s="1"/>
      <c r="Z82" s="1"/>
    </row>
    <row r="83" spans="1:26" ht="38.4">
      <c r="A83" s="11">
        <v>45764</v>
      </c>
      <c r="B83" s="112" t="s">
        <v>20</v>
      </c>
      <c r="C83" s="117" t="s">
        <v>25</v>
      </c>
      <c r="D83" s="121" t="s">
        <v>26</v>
      </c>
      <c r="E83" s="117" t="s">
        <v>27</v>
      </c>
      <c r="F83" s="121" t="s">
        <v>28</v>
      </c>
      <c r="G83" s="123" t="s">
        <v>98</v>
      </c>
      <c r="H83" s="111">
        <f t="shared" ref="H83:H90" si="1">J83-I83</f>
        <v>1.5277777777777779E-2</v>
      </c>
      <c r="I83" s="106">
        <v>0.33333333333333331</v>
      </c>
      <c r="J83" s="106">
        <v>0.34861111111111109</v>
      </c>
      <c r="K83" s="1"/>
      <c r="L83" s="1"/>
      <c r="M83" s="1"/>
      <c r="N83" s="1"/>
      <c r="O83" s="1"/>
      <c r="P83" s="1"/>
      <c r="Q83" s="1"/>
      <c r="R83" s="1"/>
      <c r="S83" s="1"/>
      <c r="T83" s="1"/>
      <c r="U83" s="1"/>
      <c r="V83" s="1"/>
      <c r="W83" s="1"/>
      <c r="X83" s="1"/>
      <c r="Y83" s="1"/>
      <c r="Z83" s="1"/>
    </row>
    <row r="84" spans="1:26" ht="51">
      <c r="A84" s="11">
        <v>45764</v>
      </c>
      <c r="B84" s="112" t="s">
        <v>20</v>
      </c>
      <c r="C84" s="117" t="s">
        <v>25</v>
      </c>
      <c r="D84" s="121" t="s">
        <v>26</v>
      </c>
      <c r="E84" s="117" t="s">
        <v>34</v>
      </c>
      <c r="F84" s="121" t="s">
        <v>28</v>
      </c>
      <c r="G84" s="123" t="s">
        <v>99</v>
      </c>
      <c r="H84" s="111">
        <f t="shared" si="1"/>
        <v>3.6805555555555591E-2</v>
      </c>
      <c r="I84" s="106">
        <v>0.34861111111111109</v>
      </c>
      <c r="J84" s="106">
        <v>0.38541666666666669</v>
      </c>
      <c r="K84" s="1"/>
      <c r="L84" s="1"/>
      <c r="M84" s="1"/>
      <c r="N84" s="1"/>
      <c r="O84" s="1"/>
      <c r="P84" s="1"/>
      <c r="Q84" s="1"/>
      <c r="R84" s="1"/>
      <c r="S84" s="1"/>
      <c r="T84" s="1"/>
      <c r="U84" s="1"/>
      <c r="V84" s="1"/>
      <c r="W84" s="1"/>
      <c r="X84" s="1"/>
      <c r="Y84" s="1"/>
      <c r="Z84" s="1"/>
    </row>
    <row r="85" spans="1:26" ht="51">
      <c r="A85" s="11">
        <v>45764</v>
      </c>
      <c r="B85" s="112" t="s">
        <v>20</v>
      </c>
      <c r="C85" s="117" t="s">
        <v>25</v>
      </c>
      <c r="D85" s="121" t="s">
        <v>26</v>
      </c>
      <c r="E85" s="117" t="s">
        <v>27</v>
      </c>
      <c r="F85" s="121" t="s">
        <v>28</v>
      </c>
      <c r="G85" s="123" t="s">
        <v>100</v>
      </c>
      <c r="H85" s="111">
        <f t="shared" si="1"/>
        <v>4.6527777777777779E-2</v>
      </c>
      <c r="I85" s="106">
        <v>0.38541666666666669</v>
      </c>
      <c r="J85" s="106">
        <v>0.43194444444444446</v>
      </c>
      <c r="K85" s="1"/>
      <c r="L85" s="1"/>
      <c r="M85" s="1"/>
      <c r="N85" s="1"/>
      <c r="O85" s="1"/>
      <c r="P85" s="1"/>
      <c r="Q85" s="1"/>
      <c r="R85" s="1"/>
      <c r="S85" s="1"/>
      <c r="T85" s="1"/>
      <c r="U85" s="1"/>
      <c r="V85" s="1"/>
      <c r="W85" s="1"/>
      <c r="X85" s="1"/>
      <c r="Y85" s="1"/>
      <c r="Z85" s="1"/>
    </row>
    <row r="86" spans="1:26" ht="25.8">
      <c r="A86" s="11">
        <v>45764</v>
      </c>
      <c r="B86" s="112" t="s">
        <v>20</v>
      </c>
      <c r="C86" s="117" t="s">
        <v>25</v>
      </c>
      <c r="D86" s="121" t="s">
        <v>26</v>
      </c>
      <c r="E86" s="117" t="s">
        <v>27</v>
      </c>
      <c r="F86" s="121" t="s">
        <v>28</v>
      </c>
      <c r="G86" s="123" t="s">
        <v>101</v>
      </c>
      <c r="H86" s="111">
        <f t="shared" si="1"/>
        <v>5.4166666666666641E-2</v>
      </c>
      <c r="I86" s="106">
        <v>0.43194444444444446</v>
      </c>
      <c r="J86" s="111">
        <v>0.4861111111111111</v>
      </c>
      <c r="K86" s="1"/>
      <c r="L86" s="1"/>
      <c r="M86" s="1"/>
      <c r="N86" s="1"/>
      <c r="O86" s="1"/>
      <c r="P86" s="1"/>
      <c r="Q86" s="1"/>
      <c r="R86" s="1"/>
      <c r="S86" s="1"/>
      <c r="T86" s="1"/>
      <c r="U86" s="1"/>
      <c r="V86" s="1"/>
      <c r="W86" s="1"/>
      <c r="X86" s="1"/>
      <c r="Y86" s="1"/>
      <c r="Z86" s="1"/>
    </row>
    <row r="87" spans="1:26" ht="51">
      <c r="A87" s="11">
        <v>45764</v>
      </c>
      <c r="B87" s="112" t="s">
        <v>20</v>
      </c>
      <c r="C87" s="117" t="s">
        <v>25</v>
      </c>
      <c r="D87" s="121" t="s">
        <v>26</v>
      </c>
      <c r="E87" s="117" t="s">
        <v>27</v>
      </c>
      <c r="F87" s="121" t="s">
        <v>28</v>
      </c>
      <c r="G87" s="123" t="s">
        <v>102</v>
      </c>
      <c r="H87" s="111">
        <f t="shared" si="1"/>
        <v>1.3888888888888895E-2</v>
      </c>
      <c r="I87" s="106">
        <v>0.4861111111111111</v>
      </c>
      <c r="J87" s="111">
        <v>0.5</v>
      </c>
      <c r="K87" s="1"/>
      <c r="L87" s="1"/>
      <c r="M87" s="1"/>
      <c r="N87" s="1"/>
      <c r="O87" s="1"/>
      <c r="P87" s="1"/>
      <c r="Q87" s="1"/>
      <c r="R87" s="1"/>
      <c r="S87" s="1"/>
      <c r="T87" s="1"/>
      <c r="U87" s="1"/>
      <c r="V87" s="1"/>
      <c r="W87" s="1"/>
      <c r="X87" s="1"/>
      <c r="Y87" s="1"/>
      <c r="Z87" s="1"/>
    </row>
    <row r="88" spans="1:26" ht="13.8">
      <c r="A88" s="11">
        <v>45764</v>
      </c>
      <c r="B88" s="112" t="s">
        <v>20</v>
      </c>
      <c r="C88" s="117" t="s">
        <v>25</v>
      </c>
      <c r="D88" s="121" t="s">
        <v>26</v>
      </c>
      <c r="E88" s="117" t="s">
        <v>27</v>
      </c>
      <c r="F88" s="121" t="s">
        <v>28</v>
      </c>
      <c r="G88" s="123" t="s">
        <v>103</v>
      </c>
      <c r="H88" s="119">
        <f t="shared" si="1"/>
        <v>6.9444444444445308E-3</v>
      </c>
      <c r="I88" s="106">
        <v>0.54166666666666663</v>
      </c>
      <c r="J88" s="111">
        <v>0.54861111111111116</v>
      </c>
      <c r="K88" s="1"/>
      <c r="L88" s="1"/>
      <c r="M88" s="1"/>
      <c r="N88" s="1"/>
      <c r="O88" s="1"/>
      <c r="P88" s="1"/>
      <c r="Q88" s="1"/>
      <c r="R88" s="1"/>
      <c r="S88" s="1"/>
      <c r="T88" s="1"/>
      <c r="U88" s="1"/>
      <c r="V88" s="1"/>
      <c r="W88" s="1"/>
      <c r="X88" s="1"/>
      <c r="Y88" s="1"/>
      <c r="Z88" s="1"/>
    </row>
    <row r="89" spans="1:26" ht="38.4">
      <c r="A89" s="11">
        <v>45764</v>
      </c>
      <c r="B89" s="112" t="s">
        <v>20</v>
      </c>
      <c r="C89" s="117" t="s">
        <v>25</v>
      </c>
      <c r="D89" s="121" t="s">
        <v>26</v>
      </c>
      <c r="E89" s="117" t="s">
        <v>34</v>
      </c>
      <c r="F89" s="121" t="s">
        <v>28</v>
      </c>
      <c r="G89" s="123" t="s">
        <v>104</v>
      </c>
      <c r="H89" s="119">
        <f t="shared" si="1"/>
        <v>0.11805555555555547</v>
      </c>
      <c r="I89" s="111">
        <v>0.54861111111111116</v>
      </c>
      <c r="J89" s="111">
        <v>0.66666666666666663</v>
      </c>
      <c r="K89" s="1"/>
      <c r="L89" s="1"/>
      <c r="M89" s="1"/>
      <c r="N89" s="1"/>
      <c r="O89" s="1"/>
      <c r="P89" s="1"/>
      <c r="Q89" s="1"/>
      <c r="R89" s="1"/>
      <c r="S89" s="1"/>
      <c r="T89" s="1"/>
      <c r="U89" s="1"/>
      <c r="V89" s="1"/>
      <c r="W89" s="1"/>
      <c r="X89" s="1"/>
      <c r="Y89" s="1"/>
      <c r="Z89" s="1"/>
    </row>
    <row r="90" spans="1:26" ht="25.8">
      <c r="A90" s="11">
        <v>45764</v>
      </c>
      <c r="B90" s="112" t="s">
        <v>20</v>
      </c>
      <c r="C90" s="117" t="s">
        <v>25</v>
      </c>
      <c r="D90" s="121" t="s">
        <v>26</v>
      </c>
      <c r="E90" s="117" t="s">
        <v>27</v>
      </c>
      <c r="F90" s="121" t="s">
        <v>28</v>
      </c>
      <c r="G90" s="123" t="s">
        <v>105</v>
      </c>
      <c r="H90" s="119">
        <f t="shared" si="1"/>
        <v>6.25E-2</v>
      </c>
      <c r="I90" s="111">
        <v>0.66666666666666663</v>
      </c>
      <c r="J90" s="111">
        <v>0.72916666666666663</v>
      </c>
      <c r="K90" s="1"/>
      <c r="L90" s="1"/>
      <c r="M90" s="1"/>
      <c r="N90" s="1"/>
      <c r="O90" s="1"/>
      <c r="P90" s="1"/>
      <c r="Q90" s="1"/>
      <c r="R90" s="1"/>
      <c r="S90" s="1"/>
      <c r="T90" s="1"/>
      <c r="U90" s="1"/>
      <c r="V90" s="1"/>
      <c r="W90" s="1"/>
      <c r="X90" s="1"/>
      <c r="Y90" s="1"/>
      <c r="Z90" s="1"/>
    </row>
    <row r="91" spans="1:26" ht="13.8">
      <c r="A91" s="21">
        <v>45765</v>
      </c>
      <c r="B91" s="21" t="s">
        <v>21</v>
      </c>
      <c r="C91" s="115" t="s">
        <v>25</v>
      </c>
      <c r="D91" s="22"/>
      <c r="E91" s="115" t="s">
        <v>106</v>
      </c>
      <c r="F91" s="22" t="s">
        <v>28</v>
      </c>
      <c r="G91" s="122" t="s">
        <v>107</v>
      </c>
      <c r="H91" s="109">
        <f t="shared" si="0"/>
        <v>0.33333333333333331</v>
      </c>
      <c r="I91" s="110">
        <v>0.33333333333333331</v>
      </c>
      <c r="J91" s="110">
        <v>0.66666666666666663</v>
      </c>
      <c r="K91" s="1"/>
      <c r="L91" s="1"/>
      <c r="M91" s="1"/>
      <c r="N91" s="1"/>
      <c r="O91" s="1"/>
      <c r="P91" s="1"/>
      <c r="Q91" s="1"/>
      <c r="R91" s="1"/>
      <c r="S91" s="1"/>
      <c r="T91" s="1"/>
      <c r="U91" s="1"/>
      <c r="V91" s="1"/>
      <c r="W91" s="1"/>
      <c r="X91" s="1"/>
      <c r="Y91" s="1"/>
      <c r="Z91" s="1"/>
    </row>
    <row r="92" spans="1:26" ht="13.8">
      <c r="A92" s="16">
        <v>45766</v>
      </c>
      <c r="B92" s="16" t="s">
        <v>22</v>
      </c>
      <c r="C92" s="17"/>
      <c r="D92" s="17"/>
      <c r="E92" s="17"/>
      <c r="F92" s="17"/>
      <c r="G92" s="18"/>
      <c r="H92" s="19">
        <f t="shared" si="0"/>
        <v>0</v>
      </c>
      <c r="I92" s="20"/>
      <c r="J92" s="20"/>
      <c r="K92" s="1"/>
      <c r="L92" s="1"/>
      <c r="M92" s="1"/>
      <c r="N92" s="1"/>
      <c r="O92" s="1"/>
      <c r="P92" s="1"/>
      <c r="Q92" s="1"/>
      <c r="R92" s="1"/>
      <c r="S92" s="1"/>
      <c r="T92" s="1"/>
      <c r="U92" s="1"/>
      <c r="V92" s="1"/>
      <c r="W92" s="1"/>
      <c r="X92" s="1"/>
      <c r="Y92" s="1"/>
      <c r="Z92" s="1"/>
    </row>
    <row r="93" spans="1:26" ht="13.8">
      <c r="A93" s="16">
        <v>45767</v>
      </c>
      <c r="B93" s="16" t="s">
        <v>23</v>
      </c>
      <c r="C93" s="17"/>
      <c r="D93" s="17"/>
      <c r="E93" s="17"/>
      <c r="F93" s="17"/>
      <c r="G93" s="18"/>
      <c r="H93" s="19">
        <f t="shared" si="0"/>
        <v>0</v>
      </c>
      <c r="I93" s="20"/>
      <c r="J93" s="20"/>
      <c r="K93" s="1"/>
      <c r="L93" s="1"/>
      <c r="M93" s="1"/>
      <c r="N93" s="1"/>
      <c r="O93" s="1"/>
      <c r="P93" s="1"/>
      <c r="Q93" s="1"/>
      <c r="R93" s="1"/>
      <c r="S93" s="1"/>
      <c r="T93" s="1"/>
      <c r="U93" s="1"/>
      <c r="V93" s="1"/>
      <c r="W93" s="1"/>
      <c r="X93" s="1"/>
      <c r="Y93" s="1"/>
      <c r="Z93" s="1"/>
    </row>
    <row r="94" spans="1:26" ht="13.8">
      <c r="A94" s="21">
        <v>45768</v>
      </c>
      <c r="B94" s="21" t="s">
        <v>24</v>
      </c>
      <c r="C94" s="22" t="s">
        <v>25</v>
      </c>
      <c r="D94" s="22"/>
      <c r="E94" s="22" t="s">
        <v>106</v>
      </c>
      <c r="F94" s="22" t="s">
        <v>28</v>
      </c>
      <c r="G94" s="23" t="s">
        <v>108</v>
      </c>
      <c r="H94" s="24">
        <f>J94-I94</f>
        <v>0.33333333333333331</v>
      </c>
      <c r="I94" s="25">
        <v>0.33333333333333331</v>
      </c>
      <c r="J94" s="25">
        <v>0.66666666666666663</v>
      </c>
      <c r="K94" s="1"/>
      <c r="L94" s="1"/>
      <c r="M94" s="1"/>
      <c r="N94" s="1"/>
      <c r="O94" s="1"/>
      <c r="P94" s="1"/>
      <c r="Q94" s="1"/>
      <c r="R94" s="1"/>
      <c r="S94" s="1"/>
      <c r="T94" s="1"/>
      <c r="U94" s="1"/>
      <c r="V94" s="1"/>
      <c r="W94" s="1"/>
      <c r="X94" s="1"/>
      <c r="Y94" s="1"/>
      <c r="Z94" s="1"/>
    </row>
    <row r="95" spans="1:26" ht="63.6">
      <c r="A95" s="11">
        <v>45769</v>
      </c>
      <c r="B95" s="11" t="s">
        <v>13</v>
      </c>
      <c r="C95" s="12" t="s">
        <v>25</v>
      </c>
      <c r="D95" s="12" t="s">
        <v>26</v>
      </c>
      <c r="E95" s="12" t="s">
        <v>27</v>
      </c>
      <c r="F95" s="12" t="s">
        <v>28</v>
      </c>
      <c r="G95" s="124" t="s">
        <v>109</v>
      </c>
      <c r="H95" s="14">
        <f t="shared" si="0"/>
        <v>2.777777777777779E-2</v>
      </c>
      <c r="I95" s="15">
        <v>0.33333333333333331</v>
      </c>
      <c r="J95" s="15">
        <v>0.3611111111111111</v>
      </c>
      <c r="K95" s="1"/>
      <c r="L95" s="1"/>
      <c r="M95" s="1"/>
      <c r="N95" s="1"/>
      <c r="O95" s="1"/>
      <c r="P95" s="1"/>
      <c r="Q95" s="1"/>
      <c r="R95" s="1"/>
      <c r="S95" s="1"/>
      <c r="T95" s="1"/>
      <c r="U95" s="1"/>
      <c r="V95" s="1"/>
      <c r="W95" s="1"/>
      <c r="X95" s="1"/>
      <c r="Y95" s="1"/>
      <c r="Z95" s="1"/>
    </row>
    <row r="96" spans="1:26" ht="25.8">
      <c r="A96" s="11">
        <v>45769</v>
      </c>
      <c r="B96" s="11" t="s">
        <v>13</v>
      </c>
      <c r="C96" s="12" t="s">
        <v>25</v>
      </c>
      <c r="D96" s="12" t="s">
        <v>26</v>
      </c>
      <c r="E96" s="12" t="s">
        <v>27</v>
      </c>
      <c r="F96" s="12" t="s">
        <v>28</v>
      </c>
      <c r="G96" s="124" t="s">
        <v>110</v>
      </c>
      <c r="H96" s="14">
        <f t="shared" si="0"/>
        <v>1.3888888888888895E-2</v>
      </c>
      <c r="I96" s="15">
        <v>0.3611111111111111</v>
      </c>
      <c r="J96" s="15">
        <v>0.375</v>
      </c>
      <c r="K96" s="1"/>
      <c r="L96" s="1"/>
      <c r="M96" s="1"/>
      <c r="N96" s="1"/>
      <c r="O96" s="1"/>
      <c r="P96" s="1"/>
      <c r="Q96" s="1"/>
      <c r="R96" s="1"/>
      <c r="S96" s="1"/>
      <c r="T96" s="1"/>
      <c r="U96" s="1"/>
      <c r="V96" s="1"/>
      <c r="W96" s="1"/>
      <c r="X96" s="1"/>
      <c r="Y96" s="1"/>
      <c r="Z96" s="1"/>
    </row>
    <row r="97" spans="1:26" ht="25.8">
      <c r="A97" s="11">
        <v>45769</v>
      </c>
      <c r="B97" s="11" t="s">
        <v>13</v>
      </c>
      <c r="C97" s="12" t="s">
        <v>25</v>
      </c>
      <c r="D97" s="12" t="s">
        <v>26</v>
      </c>
      <c r="E97" s="12" t="s">
        <v>34</v>
      </c>
      <c r="F97" s="12" t="s">
        <v>28</v>
      </c>
      <c r="G97" s="13" t="s">
        <v>111</v>
      </c>
      <c r="H97" s="14">
        <f t="shared" si="0"/>
        <v>5.902777777777779E-2</v>
      </c>
      <c r="I97" s="15">
        <v>0.375</v>
      </c>
      <c r="J97" s="15">
        <v>0.43402777777777779</v>
      </c>
      <c r="K97" s="1"/>
      <c r="L97" s="1"/>
      <c r="M97" s="1"/>
      <c r="N97" s="1"/>
      <c r="O97" s="1"/>
      <c r="P97" s="1"/>
      <c r="Q97" s="1"/>
      <c r="R97" s="1"/>
      <c r="S97" s="1"/>
      <c r="T97" s="1"/>
      <c r="U97" s="1"/>
      <c r="V97" s="1"/>
      <c r="W97" s="1"/>
      <c r="X97" s="1"/>
      <c r="Y97" s="1"/>
      <c r="Z97" s="1"/>
    </row>
    <row r="98" spans="1:26" ht="25.8">
      <c r="A98" s="11">
        <v>45769</v>
      </c>
      <c r="B98" s="11" t="s">
        <v>13</v>
      </c>
      <c r="C98" s="12" t="s">
        <v>25</v>
      </c>
      <c r="D98" s="12" t="s">
        <v>26</v>
      </c>
      <c r="E98" s="12" t="s">
        <v>27</v>
      </c>
      <c r="F98" s="12" t="s">
        <v>28</v>
      </c>
      <c r="G98" s="124" t="s">
        <v>112</v>
      </c>
      <c r="H98" s="14">
        <f t="shared" si="0"/>
        <v>2.4305555555555525E-2</v>
      </c>
      <c r="I98" s="15">
        <v>0.43402777777777779</v>
      </c>
      <c r="J98" s="15">
        <v>0.45833333333333331</v>
      </c>
      <c r="K98" s="1"/>
      <c r="L98" s="1"/>
      <c r="M98" s="1"/>
      <c r="N98" s="1"/>
      <c r="O98" s="1"/>
      <c r="P98" s="1"/>
      <c r="Q98" s="1"/>
      <c r="R98" s="1"/>
      <c r="S98" s="1"/>
      <c r="T98" s="1"/>
      <c r="U98" s="1"/>
      <c r="V98" s="1"/>
      <c r="W98" s="1"/>
      <c r="X98" s="1"/>
      <c r="Y98" s="1"/>
      <c r="Z98" s="1"/>
    </row>
    <row r="99" spans="1:26" ht="63.6">
      <c r="A99" s="11">
        <v>45769</v>
      </c>
      <c r="B99" s="11" t="s">
        <v>13</v>
      </c>
      <c r="C99" s="12" t="s">
        <v>25</v>
      </c>
      <c r="D99" s="12" t="s">
        <v>26</v>
      </c>
      <c r="E99" s="12" t="s">
        <v>27</v>
      </c>
      <c r="F99" s="12" t="s">
        <v>28</v>
      </c>
      <c r="G99" s="124" t="s">
        <v>113</v>
      </c>
      <c r="H99" s="14">
        <f t="shared" si="0"/>
        <v>2.8472222222222232E-2</v>
      </c>
      <c r="I99" s="15">
        <v>0.45833333333333331</v>
      </c>
      <c r="J99" s="15">
        <v>0.48680555555555555</v>
      </c>
      <c r="K99" s="1"/>
      <c r="L99" s="1"/>
      <c r="M99" s="1"/>
      <c r="N99" s="1"/>
      <c r="O99" s="1"/>
      <c r="P99" s="1"/>
      <c r="Q99" s="1"/>
      <c r="R99" s="1"/>
      <c r="S99" s="1"/>
      <c r="T99" s="1"/>
      <c r="U99" s="1"/>
      <c r="V99" s="1"/>
      <c r="W99" s="1"/>
      <c r="X99" s="1"/>
      <c r="Y99" s="1"/>
      <c r="Z99" s="1"/>
    </row>
    <row r="100" spans="1:26" ht="25.8">
      <c r="A100" s="11">
        <v>45769</v>
      </c>
      <c r="B100" s="11" t="s">
        <v>13</v>
      </c>
      <c r="C100" s="12" t="s">
        <v>25</v>
      </c>
      <c r="D100" s="12" t="s">
        <v>26</v>
      </c>
      <c r="E100" s="12" t="s">
        <v>27</v>
      </c>
      <c r="F100" s="12" t="s">
        <v>28</v>
      </c>
      <c r="G100" s="124" t="s">
        <v>112</v>
      </c>
      <c r="H100" s="14">
        <f t="shared" si="0"/>
        <v>1.3194444444444453E-2</v>
      </c>
      <c r="I100" s="15">
        <v>0.48680555555555555</v>
      </c>
      <c r="J100" s="15">
        <v>0.5</v>
      </c>
      <c r="K100" s="1"/>
      <c r="L100" s="1"/>
      <c r="M100" s="1"/>
      <c r="N100" s="1"/>
      <c r="O100" s="1"/>
      <c r="P100" s="1"/>
      <c r="Q100" s="1"/>
      <c r="R100" s="1"/>
      <c r="S100" s="1"/>
      <c r="T100" s="1"/>
      <c r="U100" s="1"/>
      <c r="V100" s="1"/>
      <c r="W100" s="1"/>
      <c r="X100" s="1"/>
      <c r="Y100" s="1"/>
      <c r="Z100" s="1"/>
    </row>
    <row r="101" spans="1:26" ht="51">
      <c r="A101" s="11">
        <v>45769</v>
      </c>
      <c r="B101" s="11" t="s">
        <v>13</v>
      </c>
      <c r="C101" s="12" t="s">
        <v>25</v>
      </c>
      <c r="D101" s="12" t="s">
        <v>26</v>
      </c>
      <c r="E101" s="12" t="s">
        <v>48</v>
      </c>
      <c r="F101" s="12" t="s">
        <v>28</v>
      </c>
      <c r="G101" s="124" t="s">
        <v>114</v>
      </c>
      <c r="H101" s="14">
        <f t="shared" si="0"/>
        <v>8.333333333333337E-2</v>
      </c>
      <c r="I101" s="15">
        <v>0.54166666666666663</v>
      </c>
      <c r="J101" s="15">
        <v>0.625</v>
      </c>
      <c r="K101" s="1"/>
      <c r="L101" s="1"/>
      <c r="M101" s="1"/>
      <c r="N101" s="1"/>
      <c r="O101" s="1"/>
      <c r="P101" s="1"/>
      <c r="Q101" s="1"/>
      <c r="R101" s="1"/>
      <c r="S101" s="1"/>
      <c r="T101" s="1"/>
      <c r="U101" s="1"/>
      <c r="V101" s="1"/>
      <c r="W101" s="1"/>
      <c r="X101" s="1"/>
      <c r="Y101" s="1"/>
      <c r="Z101" s="1"/>
    </row>
    <row r="102" spans="1:26" ht="38.4">
      <c r="A102" s="11">
        <v>45769</v>
      </c>
      <c r="B102" s="11" t="s">
        <v>13</v>
      </c>
      <c r="C102" s="12" t="s">
        <v>25</v>
      </c>
      <c r="D102" s="12" t="s">
        <v>26</v>
      </c>
      <c r="E102" s="12" t="s">
        <v>27</v>
      </c>
      <c r="F102" s="12" t="s">
        <v>28</v>
      </c>
      <c r="G102" s="124" t="s">
        <v>115</v>
      </c>
      <c r="H102" s="14">
        <f t="shared" si="0"/>
        <v>3.125E-2</v>
      </c>
      <c r="I102" s="15">
        <v>0.625</v>
      </c>
      <c r="J102" s="15">
        <v>0.65625</v>
      </c>
      <c r="K102" s="1"/>
      <c r="L102" s="1"/>
      <c r="M102" s="1"/>
      <c r="N102" s="1"/>
      <c r="O102" s="1"/>
      <c r="P102" s="1"/>
      <c r="Q102" s="1"/>
      <c r="R102" s="1"/>
      <c r="S102" s="1"/>
      <c r="T102" s="1"/>
      <c r="U102" s="1"/>
      <c r="V102" s="1"/>
      <c r="W102" s="1"/>
      <c r="X102" s="1"/>
      <c r="Y102" s="1"/>
      <c r="Z102" s="1"/>
    </row>
    <row r="103" spans="1:26" ht="38.4">
      <c r="A103" s="11">
        <v>45769</v>
      </c>
      <c r="B103" s="11" t="s">
        <v>13</v>
      </c>
      <c r="C103" s="12" t="s">
        <v>25</v>
      </c>
      <c r="D103" s="12" t="s">
        <v>26</v>
      </c>
      <c r="E103" s="12" t="s">
        <v>27</v>
      </c>
      <c r="F103" s="12" t="s">
        <v>28</v>
      </c>
      <c r="G103" s="124" t="s">
        <v>116</v>
      </c>
      <c r="H103" s="14">
        <f t="shared" si="0"/>
        <v>1.041666666666663E-2</v>
      </c>
      <c r="I103" s="15">
        <v>0.65625</v>
      </c>
      <c r="J103" s="15">
        <v>0.66666666666666663</v>
      </c>
      <c r="K103" s="1"/>
      <c r="L103" s="1"/>
      <c r="M103" s="1"/>
      <c r="N103" s="1"/>
      <c r="O103" s="1"/>
      <c r="P103" s="1"/>
      <c r="Q103" s="1"/>
      <c r="R103" s="1"/>
      <c r="S103" s="1"/>
      <c r="T103" s="1"/>
      <c r="U103" s="1"/>
      <c r="V103" s="1"/>
      <c r="W103" s="1"/>
      <c r="X103" s="1"/>
      <c r="Y103" s="1"/>
      <c r="Z103" s="1"/>
    </row>
    <row r="104" spans="1:26" ht="114">
      <c r="A104" s="11">
        <v>45769</v>
      </c>
      <c r="B104" s="11" t="s">
        <v>13</v>
      </c>
      <c r="C104" s="12" t="s">
        <v>25</v>
      </c>
      <c r="D104" s="12" t="s">
        <v>26</v>
      </c>
      <c r="E104" s="12" t="s">
        <v>27</v>
      </c>
      <c r="F104" s="12" t="s">
        <v>28</v>
      </c>
      <c r="G104" s="124" t="s">
        <v>117</v>
      </c>
      <c r="H104" s="14">
        <f t="shared" si="0"/>
        <v>8.333333333333337E-2</v>
      </c>
      <c r="I104" s="15">
        <v>0.66666666666666663</v>
      </c>
      <c r="J104" s="15">
        <v>0.75</v>
      </c>
      <c r="K104" s="1"/>
      <c r="L104" s="1"/>
      <c r="M104" s="1"/>
      <c r="N104" s="1"/>
      <c r="O104" s="1"/>
      <c r="P104" s="1"/>
      <c r="Q104" s="1"/>
      <c r="R104" s="1"/>
      <c r="S104" s="1"/>
      <c r="T104" s="1"/>
      <c r="U104" s="1"/>
      <c r="V104" s="1"/>
      <c r="W104" s="1"/>
      <c r="X104" s="1"/>
      <c r="Y104" s="1"/>
      <c r="Z104" s="1"/>
    </row>
    <row r="105" spans="1:26" ht="25.8">
      <c r="A105" s="11">
        <v>45770</v>
      </c>
      <c r="B105" s="11" t="s">
        <v>19</v>
      </c>
      <c r="C105" s="12" t="s">
        <v>25</v>
      </c>
      <c r="D105" s="12" t="s">
        <v>26</v>
      </c>
      <c r="E105" s="12" t="s">
        <v>27</v>
      </c>
      <c r="F105" s="12" t="s">
        <v>28</v>
      </c>
      <c r="G105" s="124" t="s">
        <v>118</v>
      </c>
      <c r="H105" s="14">
        <f t="shared" si="0"/>
        <v>9.0277777777778012E-3</v>
      </c>
      <c r="I105" s="15">
        <v>0.33333333333333331</v>
      </c>
      <c r="J105" s="15">
        <v>0.34236111111111112</v>
      </c>
      <c r="K105" s="1"/>
      <c r="L105" s="1"/>
      <c r="M105" s="1"/>
      <c r="N105" s="1"/>
      <c r="O105" s="1"/>
      <c r="P105" s="1"/>
      <c r="Q105" s="1"/>
      <c r="R105" s="1"/>
      <c r="S105" s="1"/>
      <c r="T105" s="1"/>
      <c r="U105" s="1"/>
      <c r="V105" s="1"/>
      <c r="W105" s="1"/>
      <c r="X105" s="1"/>
      <c r="Y105" s="1"/>
      <c r="Z105" s="1"/>
    </row>
    <row r="106" spans="1:26" ht="38.4">
      <c r="A106" s="11">
        <v>45770</v>
      </c>
      <c r="B106" s="11" t="s">
        <v>19</v>
      </c>
      <c r="C106" s="12" t="s">
        <v>25</v>
      </c>
      <c r="D106" s="12" t="s">
        <v>26</v>
      </c>
      <c r="E106" s="12" t="s">
        <v>48</v>
      </c>
      <c r="F106" s="12" t="s">
        <v>28</v>
      </c>
      <c r="G106" s="124" t="s">
        <v>119</v>
      </c>
      <c r="H106" s="14">
        <f t="shared" si="0"/>
        <v>1.1805555555555569E-2</v>
      </c>
      <c r="I106" s="15">
        <v>0.34236111111111112</v>
      </c>
      <c r="J106" s="15">
        <v>0.35416666666666669</v>
      </c>
      <c r="K106" s="1"/>
      <c r="L106" s="1"/>
      <c r="M106" s="1"/>
      <c r="N106" s="1"/>
      <c r="O106" s="1"/>
      <c r="P106" s="1"/>
      <c r="Q106" s="1"/>
      <c r="R106" s="1"/>
      <c r="S106" s="1"/>
      <c r="T106" s="1"/>
      <c r="U106" s="1"/>
      <c r="V106" s="1"/>
      <c r="W106" s="1"/>
      <c r="X106" s="1"/>
      <c r="Y106" s="1"/>
      <c r="Z106" s="1"/>
    </row>
    <row r="107" spans="1:26" ht="25.8">
      <c r="A107" s="11">
        <v>45770</v>
      </c>
      <c r="B107" s="11" t="s">
        <v>19</v>
      </c>
      <c r="C107" s="12" t="s">
        <v>25</v>
      </c>
      <c r="D107" s="12" t="s">
        <v>26</v>
      </c>
      <c r="E107" s="12" t="s">
        <v>27</v>
      </c>
      <c r="F107" s="12" t="s">
        <v>28</v>
      </c>
      <c r="G107" s="124" t="s">
        <v>120</v>
      </c>
      <c r="H107" s="14">
        <f t="shared" si="0"/>
        <v>2.0833333333333315E-2</v>
      </c>
      <c r="I107" s="15">
        <v>0.35416666666666669</v>
      </c>
      <c r="J107" s="15">
        <v>0.375</v>
      </c>
      <c r="K107" s="1"/>
      <c r="L107" s="1"/>
      <c r="M107" s="1"/>
      <c r="N107" s="1"/>
      <c r="O107" s="1"/>
      <c r="P107" s="1"/>
      <c r="Q107" s="1"/>
      <c r="R107" s="1"/>
      <c r="S107" s="1"/>
      <c r="T107" s="1"/>
      <c r="U107" s="1"/>
      <c r="V107" s="1"/>
      <c r="W107" s="1"/>
      <c r="X107" s="1"/>
      <c r="Y107" s="1"/>
      <c r="Z107" s="1"/>
    </row>
    <row r="108" spans="1:26" ht="38.4">
      <c r="A108" s="11">
        <v>45770</v>
      </c>
      <c r="B108" s="11" t="s">
        <v>19</v>
      </c>
      <c r="C108" s="12" t="s">
        <v>25</v>
      </c>
      <c r="D108" s="12" t="s">
        <v>26</v>
      </c>
      <c r="E108" s="12" t="s">
        <v>48</v>
      </c>
      <c r="F108" s="12" t="s">
        <v>28</v>
      </c>
      <c r="G108" s="124" t="s">
        <v>121</v>
      </c>
      <c r="H108" s="14">
        <f t="shared" si="0"/>
        <v>6.25E-2</v>
      </c>
      <c r="I108" s="15">
        <v>0.375</v>
      </c>
      <c r="J108" s="15">
        <v>0.4375</v>
      </c>
      <c r="K108" s="1"/>
      <c r="L108" s="1"/>
      <c r="M108" s="1"/>
      <c r="N108" s="1"/>
      <c r="O108" s="1"/>
      <c r="P108" s="1"/>
      <c r="Q108" s="1"/>
      <c r="R108" s="1"/>
      <c r="S108" s="1"/>
      <c r="T108" s="1"/>
      <c r="U108" s="1"/>
      <c r="V108" s="1"/>
      <c r="W108" s="1"/>
      <c r="X108" s="1"/>
      <c r="Y108" s="1"/>
      <c r="Z108" s="1"/>
    </row>
    <row r="109" spans="1:26" ht="63.6">
      <c r="A109" s="11">
        <v>45770</v>
      </c>
      <c r="B109" s="11" t="s">
        <v>19</v>
      </c>
      <c r="C109" s="12" t="s">
        <v>25</v>
      </c>
      <c r="D109" s="12" t="s">
        <v>26</v>
      </c>
      <c r="E109" s="12" t="s">
        <v>122</v>
      </c>
      <c r="F109" s="12" t="s">
        <v>28</v>
      </c>
      <c r="G109" s="124" t="s">
        <v>123</v>
      </c>
      <c r="H109" s="14">
        <f t="shared" si="0"/>
        <v>0.10833333333333328</v>
      </c>
      <c r="I109" s="15">
        <v>0.4375</v>
      </c>
      <c r="J109" s="15">
        <v>0.54583333333333328</v>
      </c>
      <c r="K109" s="1"/>
      <c r="L109" s="1"/>
      <c r="M109" s="1"/>
      <c r="N109" s="1"/>
      <c r="O109" s="1"/>
      <c r="P109" s="1"/>
      <c r="Q109" s="1"/>
      <c r="R109" s="1"/>
      <c r="S109" s="1"/>
      <c r="T109" s="1"/>
      <c r="U109" s="1"/>
      <c r="V109" s="1"/>
      <c r="W109" s="1"/>
      <c r="X109" s="1"/>
      <c r="Y109" s="1"/>
      <c r="Z109" s="1"/>
    </row>
    <row r="110" spans="1:26" ht="38.4">
      <c r="A110" s="11">
        <v>45770</v>
      </c>
      <c r="B110" s="11" t="s">
        <v>19</v>
      </c>
      <c r="C110" s="12" t="s">
        <v>25</v>
      </c>
      <c r="D110" s="12" t="s">
        <v>26</v>
      </c>
      <c r="E110" s="12" t="s">
        <v>48</v>
      </c>
      <c r="F110" s="12" t="s">
        <v>28</v>
      </c>
      <c r="G110" s="124" t="s">
        <v>124</v>
      </c>
      <c r="H110" s="14">
        <f t="shared" si="0"/>
        <v>1.2499999999999956E-2</v>
      </c>
      <c r="I110" s="15">
        <v>0.58750000000000002</v>
      </c>
      <c r="J110" s="15">
        <v>0.6</v>
      </c>
      <c r="K110" s="1"/>
      <c r="L110" s="1"/>
      <c r="M110" s="1"/>
      <c r="N110" s="1"/>
      <c r="O110" s="1"/>
      <c r="P110" s="1"/>
      <c r="Q110" s="1"/>
      <c r="R110" s="1"/>
      <c r="S110" s="1"/>
      <c r="T110" s="1"/>
      <c r="U110" s="1"/>
      <c r="V110" s="1"/>
      <c r="W110" s="1"/>
      <c r="X110" s="1"/>
      <c r="Y110" s="1"/>
      <c r="Z110" s="1"/>
    </row>
    <row r="111" spans="1:26" ht="76.2">
      <c r="A111" s="11">
        <v>45770</v>
      </c>
      <c r="B111" s="11" t="s">
        <v>19</v>
      </c>
      <c r="C111" s="12" t="s">
        <v>25</v>
      </c>
      <c r="D111" s="12" t="s">
        <v>26</v>
      </c>
      <c r="E111" s="12" t="s">
        <v>27</v>
      </c>
      <c r="F111" s="12" t="s">
        <v>28</v>
      </c>
      <c r="G111" s="13" t="s">
        <v>125</v>
      </c>
      <c r="H111" s="14">
        <f t="shared" si="0"/>
        <v>1.8055555555555602E-2</v>
      </c>
      <c r="I111" s="15">
        <v>0.6</v>
      </c>
      <c r="J111" s="15">
        <v>0.61805555555555558</v>
      </c>
      <c r="K111" s="1"/>
      <c r="L111" s="1"/>
      <c r="M111" s="1"/>
      <c r="N111" s="1"/>
      <c r="O111" s="1"/>
      <c r="P111" s="1"/>
      <c r="Q111" s="1"/>
      <c r="R111" s="1"/>
      <c r="S111" s="1"/>
      <c r="T111" s="1"/>
      <c r="U111" s="1"/>
      <c r="V111" s="1"/>
      <c r="W111" s="1"/>
      <c r="X111" s="1"/>
      <c r="Y111" s="1"/>
      <c r="Z111" s="1"/>
    </row>
    <row r="112" spans="1:26" ht="63.6">
      <c r="A112" s="11">
        <v>45770</v>
      </c>
      <c r="B112" s="11" t="s">
        <v>19</v>
      </c>
      <c r="C112" s="12" t="s">
        <v>25</v>
      </c>
      <c r="D112" s="12" t="s">
        <v>26</v>
      </c>
      <c r="E112" s="12" t="s">
        <v>27</v>
      </c>
      <c r="F112" s="12" t="s">
        <v>28</v>
      </c>
      <c r="G112" s="13" t="s">
        <v>126</v>
      </c>
      <c r="H112" s="14">
        <f t="shared" si="0"/>
        <v>1.9444444444444375E-2</v>
      </c>
      <c r="I112" s="15">
        <v>0.61805555555555558</v>
      </c>
      <c r="J112" s="15">
        <v>0.63749999999999996</v>
      </c>
      <c r="K112" s="1"/>
      <c r="L112" s="1"/>
      <c r="M112" s="1"/>
      <c r="N112" s="1"/>
      <c r="O112" s="1"/>
      <c r="P112" s="1"/>
      <c r="Q112" s="1"/>
      <c r="R112" s="1"/>
      <c r="S112" s="1"/>
      <c r="T112" s="1"/>
      <c r="U112" s="1"/>
      <c r="V112" s="1"/>
      <c r="W112" s="1"/>
      <c r="X112" s="1"/>
      <c r="Y112" s="1"/>
      <c r="Z112" s="1"/>
    </row>
    <row r="113" spans="1:26" ht="38.4">
      <c r="A113" s="11">
        <v>45770</v>
      </c>
      <c r="B113" s="11" t="s">
        <v>19</v>
      </c>
      <c r="C113" s="12" t="s">
        <v>25</v>
      </c>
      <c r="D113" s="12" t="s">
        <v>26</v>
      </c>
      <c r="E113" s="12" t="s">
        <v>48</v>
      </c>
      <c r="F113" s="12" t="s">
        <v>28</v>
      </c>
      <c r="G113" s="13" t="s">
        <v>127</v>
      </c>
      <c r="H113" s="14">
        <f t="shared" si="0"/>
        <v>2.9166666666666674E-2</v>
      </c>
      <c r="I113" s="15">
        <v>0.63749999999999996</v>
      </c>
      <c r="J113" s="15">
        <v>0.66666666666666663</v>
      </c>
      <c r="K113" s="1"/>
      <c r="L113" s="1"/>
      <c r="M113" s="1"/>
      <c r="N113" s="1"/>
      <c r="O113" s="1"/>
      <c r="P113" s="1"/>
      <c r="Q113" s="1"/>
      <c r="R113" s="1"/>
      <c r="S113" s="1"/>
      <c r="T113" s="1"/>
      <c r="U113" s="1"/>
      <c r="V113" s="1"/>
      <c r="W113" s="1"/>
      <c r="X113" s="1"/>
      <c r="Y113" s="1"/>
      <c r="Z113" s="1"/>
    </row>
    <row r="114" spans="1:26" ht="38.4">
      <c r="A114" s="11">
        <v>45770</v>
      </c>
      <c r="B114" s="11" t="s">
        <v>19</v>
      </c>
      <c r="C114" s="12" t="s">
        <v>25</v>
      </c>
      <c r="D114" s="12" t="s">
        <v>26</v>
      </c>
      <c r="E114" s="12" t="s">
        <v>27</v>
      </c>
      <c r="F114" s="12" t="s">
        <v>28</v>
      </c>
      <c r="G114" s="13" t="s">
        <v>128</v>
      </c>
      <c r="H114" s="14">
        <f t="shared" si="0"/>
        <v>4.1666666666666741E-2</v>
      </c>
      <c r="I114" s="15">
        <v>0.66666666666666663</v>
      </c>
      <c r="J114" s="15">
        <v>0.70833333333333337</v>
      </c>
      <c r="K114" s="1"/>
      <c r="L114" s="1"/>
      <c r="M114" s="1"/>
      <c r="N114" s="1"/>
      <c r="O114" s="1"/>
      <c r="P114" s="1"/>
      <c r="Q114" s="1"/>
      <c r="R114" s="1"/>
      <c r="S114" s="1"/>
      <c r="T114" s="1"/>
      <c r="U114" s="1"/>
      <c r="V114" s="1"/>
      <c r="W114" s="1"/>
      <c r="X114" s="1"/>
      <c r="Y114" s="1"/>
      <c r="Z114" s="1"/>
    </row>
    <row r="115" spans="1:26" ht="63.6">
      <c r="A115" s="11">
        <v>45770</v>
      </c>
      <c r="B115" s="11" t="s">
        <v>19</v>
      </c>
      <c r="C115" s="12" t="s">
        <v>25</v>
      </c>
      <c r="D115" s="12" t="s">
        <v>26</v>
      </c>
      <c r="E115" s="12" t="s">
        <v>48</v>
      </c>
      <c r="F115" s="12" t="s">
        <v>28</v>
      </c>
      <c r="G115" s="13" t="s">
        <v>129</v>
      </c>
      <c r="H115" s="14">
        <f t="shared" si="0"/>
        <v>4.166666666666663E-2</v>
      </c>
      <c r="I115" s="15">
        <v>0.70833333333333337</v>
      </c>
      <c r="J115" s="15">
        <v>0.75</v>
      </c>
      <c r="K115" s="1"/>
      <c r="L115" s="1"/>
      <c r="M115" s="1"/>
      <c r="N115" s="1"/>
      <c r="O115" s="1"/>
      <c r="P115" s="1"/>
      <c r="Q115" s="1"/>
      <c r="R115" s="1"/>
      <c r="S115" s="1"/>
      <c r="T115" s="1"/>
      <c r="U115" s="1"/>
      <c r="V115" s="1"/>
      <c r="W115" s="1"/>
      <c r="X115" s="1"/>
      <c r="Y115" s="1"/>
      <c r="Z115" s="1"/>
    </row>
    <row r="116" spans="1:26" ht="25.8">
      <c r="A116" s="11">
        <v>45771</v>
      </c>
      <c r="B116" s="11" t="s">
        <v>20</v>
      </c>
      <c r="C116" s="12" t="s">
        <v>25</v>
      </c>
      <c r="D116" s="12" t="s">
        <v>130</v>
      </c>
      <c r="E116" s="12" t="s">
        <v>27</v>
      </c>
      <c r="F116" s="12" t="s">
        <v>28</v>
      </c>
      <c r="G116" s="13" t="s">
        <v>40</v>
      </c>
      <c r="H116" s="14">
        <f t="shared" si="0"/>
        <v>7.6388888888889173E-3</v>
      </c>
      <c r="I116" s="15">
        <v>0.33333333333333331</v>
      </c>
      <c r="J116" s="15">
        <v>0.34097222222222223</v>
      </c>
      <c r="K116" s="1"/>
      <c r="L116" s="1"/>
      <c r="M116" s="1"/>
      <c r="N116" s="1"/>
      <c r="O116" s="1"/>
      <c r="P116" s="1"/>
      <c r="Q116" s="1"/>
      <c r="R116" s="1"/>
      <c r="S116" s="1"/>
      <c r="T116" s="1"/>
      <c r="U116" s="1"/>
      <c r="V116" s="1"/>
      <c r="W116" s="1"/>
      <c r="X116" s="1"/>
      <c r="Y116" s="1"/>
      <c r="Z116" s="1"/>
    </row>
    <row r="117" spans="1:26" ht="76.2">
      <c r="A117" s="11">
        <v>45771</v>
      </c>
      <c r="B117" s="11" t="s">
        <v>20</v>
      </c>
      <c r="C117" s="12" t="s">
        <v>25</v>
      </c>
      <c r="D117" s="12" t="s">
        <v>130</v>
      </c>
      <c r="E117" s="12" t="s">
        <v>48</v>
      </c>
      <c r="F117" s="12" t="s">
        <v>28</v>
      </c>
      <c r="G117" s="13" t="s">
        <v>131</v>
      </c>
      <c r="H117" s="14">
        <f t="shared" si="0"/>
        <v>0.11736111111111108</v>
      </c>
      <c r="I117" s="15">
        <v>0.34097222222222223</v>
      </c>
      <c r="J117" s="15">
        <v>0.45833333333333331</v>
      </c>
      <c r="K117" s="1"/>
      <c r="L117" s="1"/>
      <c r="M117" s="1"/>
      <c r="N117" s="1"/>
      <c r="O117" s="1"/>
      <c r="P117" s="1"/>
      <c r="Q117" s="1"/>
      <c r="R117" s="1"/>
      <c r="S117" s="1"/>
      <c r="T117" s="1"/>
      <c r="U117" s="1"/>
      <c r="V117" s="1"/>
      <c r="W117" s="1"/>
      <c r="X117" s="1"/>
      <c r="Y117" s="1"/>
      <c r="Z117" s="1"/>
    </row>
    <row r="118" spans="1:26" ht="51">
      <c r="A118" s="11">
        <v>45771</v>
      </c>
      <c r="B118" s="11" t="s">
        <v>20</v>
      </c>
      <c r="C118" s="12" t="s">
        <v>25</v>
      </c>
      <c r="D118" s="12" t="s">
        <v>130</v>
      </c>
      <c r="E118" s="12" t="s">
        <v>27</v>
      </c>
      <c r="F118" s="12" t="s">
        <v>28</v>
      </c>
      <c r="G118" s="13" t="s">
        <v>132</v>
      </c>
      <c r="H118" s="14">
        <f t="shared" si="0"/>
        <v>5.0694444444444431E-2</v>
      </c>
      <c r="I118" s="15">
        <v>0.45833333333333331</v>
      </c>
      <c r="J118" s="15">
        <v>0.50902777777777775</v>
      </c>
      <c r="K118" s="1"/>
      <c r="L118" s="1"/>
      <c r="M118" s="1"/>
      <c r="N118" s="1"/>
      <c r="O118" s="1"/>
      <c r="P118" s="1"/>
      <c r="Q118" s="1"/>
      <c r="R118" s="1"/>
      <c r="S118" s="1"/>
      <c r="T118" s="1"/>
      <c r="U118" s="1"/>
      <c r="V118" s="1"/>
      <c r="W118" s="1"/>
      <c r="X118" s="1"/>
      <c r="Y118" s="1"/>
      <c r="Z118" s="1"/>
    </row>
    <row r="119" spans="1:26" ht="51">
      <c r="A119" s="11">
        <v>45771</v>
      </c>
      <c r="B119" s="11" t="s">
        <v>20</v>
      </c>
      <c r="C119" s="12" t="s">
        <v>25</v>
      </c>
      <c r="D119" s="12" t="s">
        <v>130</v>
      </c>
      <c r="E119" s="12" t="s">
        <v>48</v>
      </c>
      <c r="F119" s="12" t="s">
        <v>28</v>
      </c>
      <c r="G119" s="13" t="s">
        <v>133</v>
      </c>
      <c r="H119" s="14">
        <f t="shared" si="0"/>
        <v>0.13541666666666663</v>
      </c>
      <c r="I119" s="15">
        <v>0.55069444444444449</v>
      </c>
      <c r="J119" s="15">
        <v>0.68611111111111112</v>
      </c>
      <c r="K119" s="1"/>
      <c r="L119" s="1"/>
      <c r="M119" s="1"/>
      <c r="N119" s="1"/>
      <c r="O119" s="1"/>
      <c r="P119" s="1"/>
      <c r="Q119" s="1"/>
      <c r="R119" s="1"/>
      <c r="S119" s="1"/>
      <c r="T119" s="1"/>
      <c r="U119" s="1"/>
      <c r="V119" s="1"/>
      <c r="W119" s="1"/>
      <c r="X119" s="1"/>
      <c r="Y119" s="1"/>
      <c r="Z119" s="1"/>
    </row>
    <row r="120" spans="1:26" ht="51">
      <c r="A120" s="11">
        <v>45771</v>
      </c>
      <c r="B120" s="11" t="s">
        <v>20</v>
      </c>
      <c r="C120" s="12" t="s">
        <v>25</v>
      </c>
      <c r="D120" s="12" t="s">
        <v>130</v>
      </c>
      <c r="E120" s="12" t="s">
        <v>27</v>
      </c>
      <c r="F120" s="12" t="s">
        <v>28</v>
      </c>
      <c r="G120" s="13" t="s">
        <v>134</v>
      </c>
      <c r="H120" s="14">
        <f t="shared" si="0"/>
        <v>1.5277777777777724E-2</v>
      </c>
      <c r="I120" s="15">
        <v>0.68611111111111112</v>
      </c>
      <c r="J120" s="15">
        <v>0.70138888888888884</v>
      </c>
      <c r="K120" s="1"/>
      <c r="L120" s="1"/>
      <c r="M120" s="1"/>
      <c r="N120" s="1"/>
      <c r="O120" s="1"/>
      <c r="P120" s="1"/>
      <c r="Q120" s="1"/>
      <c r="R120" s="1"/>
      <c r="S120" s="1"/>
      <c r="T120" s="1"/>
      <c r="U120" s="1"/>
      <c r="V120" s="1"/>
      <c r="W120" s="1"/>
      <c r="X120" s="1"/>
      <c r="Y120" s="1"/>
      <c r="Z120" s="1"/>
    </row>
    <row r="121" spans="1:26" ht="38.4">
      <c r="A121" s="11">
        <v>45771</v>
      </c>
      <c r="B121" s="11" t="s">
        <v>20</v>
      </c>
      <c r="C121" s="12" t="s">
        <v>25</v>
      </c>
      <c r="D121" s="12" t="s">
        <v>130</v>
      </c>
      <c r="E121" s="12" t="s">
        <v>48</v>
      </c>
      <c r="F121" s="12" t="s">
        <v>28</v>
      </c>
      <c r="G121" s="13" t="s">
        <v>135</v>
      </c>
      <c r="H121" s="14">
        <f t="shared" si="0"/>
        <v>3.9583333333333415E-2</v>
      </c>
      <c r="I121" s="15">
        <v>0.70138888888888884</v>
      </c>
      <c r="J121" s="15">
        <v>0.74097222222222225</v>
      </c>
      <c r="K121" s="1"/>
      <c r="L121" s="1"/>
      <c r="M121" s="1"/>
      <c r="N121" s="1"/>
      <c r="O121" s="1"/>
      <c r="P121" s="1"/>
      <c r="Q121" s="1"/>
      <c r="R121" s="1"/>
      <c r="S121" s="1"/>
      <c r="T121" s="1"/>
      <c r="U121" s="1"/>
      <c r="V121" s="1"/>
      <c r="W121" s="1"/>
      <c r="X121" s="1"/>
      <c r="Y121" s="1"/>
      <c r="Z121" s="1"/>
    </row>
    <row r="122" spans="1:26" ht="63.6">
      <c r="A122" s="11">
        <v>45772</v>
      </c>
      <c r="B122" s="11" t="s">
        <v>21</v>
      </c>
      <c r="C122" s="12" t="s">
        <v>25</v>
      </c>
      <c r="D122" s="12" t="s">
        <v>26</v>
      </c>
      <c r="E122" s="12" t="s">
        <v>27</v>
      </c>
      <c r="F122" s="12" t="s">
        <v>28</v>
      </c>
      <c r="G122" s="13" t="s">
        <v>136</v>
      </c>
      <c r="H122" s="14">
        <f t="shared" si="0"/>
        <v>4.5138888888888895E-2</v>
      </c>
      <c r="I122" s="15">
        <v>0.33333333333333331</v>
      </c>
      <c r="J122" s="15">
        <v>0.37847222222222221</v>
      </c>
      <c r="K122" s="1"/>
      <c r="L122" s="1"/>
      <c r="M122" s="1"/>
      <c r="N122" s="1"/>
      <c r="O122" s="1"/>
      <c r="P122" s="1"/>
      <c r="Q122" s="1"/>
      <c r="R122" s="1"/>
      <c r="S122" s="1"/>
      <c r="T122" s="1"/>
      <c r="U122" s="1"/>
      <c r="V122" s="1"/>
      <c r="W122" s="1"/>
      <c r="X122" s="1"/>
      <c r="Y122" s="1"/>
      <c r="Z122" s="1"/>
    </row>
    <row r="123" spans="1:26" ht="88.8">
      <c r="A123" s="11">
        <v>45772</v>
      </c>
      <c r="B123" s="11" t="s">
        <v>21</v>
      </c>
      <c r="C123" s="12" t="s">
        <v>25</v>
      </c>
      <c r="D123" s="12" t="s">
        <v>26</v>
      </c>
      <c r="E123" s="12" t="s">
        <v>27</v>
      </c>
      <c r="F123" s="12" t="s">
        <v>28</v>
      </c>
      <c r="G123" s="13" t="s">
        <v>137</v>
      </c>
      <c r="H123" s="14">
        <f t="shared" si="0"/>
        <v>3.125E-2</v>
      </c>
      <c r="I123" s="15">
        <v>0.37847222222222221</v>
      </c>
      <c r="J123" s="15">
        <v>0.40972222222222221</v>
      </c>
      <c r="K123" s="1"/>
      <c r="L123" s="1"/>
      <c r="M123" s="1"/>
      <c r="N123" s="1"/>
      <c r="O123" s="1"/>
      <c r="P123" s="1"/>
      <c r="Q123" s="1"/>
      <c r="R123" s="1"/>
      <c r="S123" s="1"/>
      <c r="T123" s="1"/>
      <c r="U123" s="1"/>
      <c r="V123" s="1"/>
      <c r="W123" s="1"/>
      <c r="X123" s="1"/>
      <c r="Y123" s="1"/>
      <c r="Z123" s="1"/>
    </row>
    <row r="124" spans="1:26" ht="51">
      <c r="A124" s="11">
        <v>45772</v>
      </c>
      <c r="B124" s="11" t="s">
        <v>21</v>
      </c>
      <c r="C124" s="12" t="s">
        <v>25</v>
      </c>
      <c r="D124" s="12" t="s">
        <v>26</v>
      </c>
      <c r="E124" s="12" t="s">
        <v>48</v>
      </c>
      <c r="F124" s="12" t="s">
        <v>28</v>
      </c>
      <c r="G124" s="13" t="s">
        <v>138</v>
      </c>
      <c r="H124" s="14">
        <f t="shared" si="0"/>
        <v>4.8611111111111105E-2</v>
      </c>
      <c r="I124" s="15">
        <v>0.40972222222222221</v>
      </c>
      <c r="J124" s="15">
        <v>0.45833333333333331</v>
      </c>
      <c r="K124" s="1"/>
      <c r="L124" s="1"/>
      <c r="M124" s="1"/>
      <c r="N124" s="1"/>
      <c r="O124" s="1"/>
      <c r="P124" s="1"/>
      <c r="Q124" s="1"/>
      <c r="R124" s="1"/>
      <c r="S124" s="1"/>
      <c r="T124" s="1"/>
      <c r="U124" s="1"/>
      <c r="V124" s="1"/>
      <c r="W124" s="1"/>
      <c r="X124" s="1"/>
      <c r="Y124" s="1"/>
      <c r="Z124" s="1"/>
    </row>
    <row r="125" spans="1:26" ht="51">
      <c r="A125" s="11">
        <v>45772</v>
      </c>
      <c r="B125" s="11" t="s">
        <v>21</v>
      </c>
      <c r="C125" s="12" t="s">
        <v>25</v>
      </c>
      <c r="D125" s="12" t="s">
        <v>26</v>
      </c>
      <c r="E125" s="12" t="s">
        <v>27</v>
      </c>
      <c r="F125" s="12" t="s">
        <v>28</v>
      </c>
      <c r="G125" s="13" t="s">
        <v>139</v>
      </c>
      <c r="H125" s="14">
        <f t="shared" si="0"/>
        <v>2.083333333333337E-2</v>
      </c>
      <c r="I125" s="15">
        <v>0.45833333333333331</v>
      </c>
      <c r="J125" s="15">
        <v>0.47916666666666669</v>
      </c>
      <c r="K125" s="1"/>
      <c r="L125" s="1"/>
      <c r="M125" s="1"/>
      <c r="N125" s="1"/>
      <c r="O125" s="1"/>
      <c r="P125" s="1"/>
      <c r="Q125" s="1"/>
      <c r="R125" s="1"/>
      <c r="S125" s="1"/>
      <c r="T125" s="1"/>
      <c r="U125" s="1"/>
      <c r="V125" s="1"/>
      <c r="W125" s="1"/>
      <c r="X125" s="1"/>
      <c r="Y125" s="1"/>
      <c r="Z125" s="1"/>
    </row>
    <row r="126" spans="1:26" ht="38.4">
      <c r="A126" s="11">
        <v>45772</v>
      </c>
      <c r="B126" s="11" t="s">
        <v>21</v>
      </c>
      <c r="C126" s="12" t="s">
        <v>25</v>
      </c>
      <c r="D126" s="12" t="s">
        <v>26</v>
      </c>
      <c r="E126" s="12" t="s">
        <v>48</v>
      </c>
      <c r="F126" s="12" t="s">
        <v>28</v>
      </c>
      <c r="G126" s="13" t="s">
        <v>140</v>
      </c>
      <c r="H126" s="14">
        <f t="shared" si="0"/>
        <v>2.0833333333333315E-2</v>
      </c>
      <c r="I126" s="15">
        <v>0.47916666666666669</v>
      </c>
      <c r="J126" s="15">
        <v>0.5</v>
      </c>
      <c r="K126" s="1"/>
      <c r="L126" s="1"/>
      <c r="M126" s="1"/>
      <c r="N126" s="1"/>
      <c r="O126" s="1"/>
      <c r="P126" s="1"/>
      <c r="Q126" s="1"/>
      <c r="R126" s="1"/>
      <c r="S126" s="1"/>
      <c r="T126" s="1"/>
      <c r="U126" s="1"/>
      <c r="V126" s="1"/>
      <c r="W126" s="1"/>
      <c r="X126" s="1"/>
      <c r="Y126" s="1"/>
      <c r="Z126" s="1"/>
    </row>
    <row r="127" spans="1:26" ht="76.2">
      <c r="A127" s="11">
        <v>45772</v>
      </c>
      <c r="B127" s="11" t="s">
        <v>21</v>
      </c>
      <c r="C127" s="12" t="s">
        <v>25</v>
      </c>
      <c r="D127" s="12" t="s">
        <v>26</v>
      </c>
      <c r="E127" s="12" t="s">
        <v>48</v>
      </c>
      <c r="F127" s="12" t="s">
        <v>28</v>
      </c>
      <c r="G127" s="13" t="s">
        <v>141</v>
      </c>
      <c r="H127" s="14">
        <f t="shared" si="0"/>
        <v>0.125</v>
      </c>
      <c r="I127" s="15">
        <v>0.54166666666666663</v>
      </c>
      <c r="J127" s="15">
        <v>0.66666666666666663</v>
      </c>
      <c r="K127" s="1"/>
      <c r="L127" s="1"/>
      <c r="M127" s="1"/>
      <c r="N127" s="1"/>
      <c r="O127" s="1"/>
      <c r="P127" s="1"/>
      <c r="Q127" s="1"/>
      <c r="R127" s="1"/>
      <c r="S127" s="1"/>
      <c r="T127" s="1"/>
      <c r="U127" s="1"/>
      <c r="V127" s="1"/>
      <c r="W127" s="1"/>
      <c r="X127" s="1"/>
      <c r="Y127" s="1"/>
      <c r="Z127" s="1"/>
    </row>
    <row r="128" spans="1:26" ht="38.4">
      <c r="A128" s="11">
        <v>45772</v>
      </c>
      <c r="B128" s="11" t="s">
        <v>21</v>
      </c>
      <c r="C128" s="12" t="s">
        <v>25</v>
      </c>
      <c r="D128" s="12" t="s">
        <v>26</v>
      </c>
      <c r="E128" s="12" t="s">
        <v>27</v>
      </c>
      <c r="F128" s="12" t="s">
        <v>28</v>
      </c>
      <c r="G128" s="123" t="s">
        <v>142</v>
      </c>
      <c r="H128" s="14">
        <f t="shared" si="0"/>
        <v>6.25E-2</v>
      </c>
      <c r="I128" s="15">
        <v>0.66666666666666663</v>
      </c>
      <c r="J128" s="15">
        <v>0.72916666666666663</v>
      </c>
      <c r="K128" s="1"/>
      <c r="L128" s="1"/>
      <c r="M128" s="1"/>
      <c r="N128" s="1"/>
      <c r="O128" s="1"/>
      <c r="P128" s="1"/>
      <c r="Q128" s="1"/>
      <c r="R128" s="1"/>
      <c r="S128" s="1"/>
      <c r="T128" s="1"/>
      <c r="U128" s="1"/>
      <c r="V128" s="1"/>
      <c r="W128" s="1"/>
      <c r="X128" s="1"/>
      <c r="Y128" s="1"/>
      <c r="Z128" s="1"/>
    </row>
    <row r="129" spans="1:26" ht="13.8">
      <c r="A129" s="16">
        <v>45773</v>
      </c>
      <c r="B129" s="16" t="s">
        <v>22</v>
      </c>
      <c r="C129" s="17"/>
      <c r="D129" s="17"/>
      <c r="E129" s="17"/>
      <c r="F129" s="17"/>
      <c r="G129" s="18"/>
      <c r="H129" s="19">
        <f t="shared" si="0"/>
        <v>0</v>
      </c>
      <c r="I129" s="20"/>
      <c r="J129" s="20"/>
      <c r="K129" s="1"/>
      <c r="L129" s="1"/>
      <c r="M129" s="1"/>
      <c r="N129" s="1"/>
      <c r="O129" s="1"/>
      <c r="P129" s="1"/>
      <c r="Q129" s="1"/>
      <c r="R129" s="1"/>
      <c r="S129" s="1"/>
      <c r="T129" s="1"/>
      <c r="U129" s="1"/>
      <c r="V129" s="1"/>
      <c r="W129" s="1"/>
      <c r="X129" s="1"/>
      <c r="Y129" s="1"/>
      <c r="Z129" s="1"/>
    </row>
    <row r="130" spans="1:26" ht="13.8">
      <c r="A130" s="16">
        <v>45774</v>
      </c>
      <c r="B130" s="16" t="s">
        <v>23</v>
      </c>
      <c r="C130" s="17"/>
      <c r="D130" s="17"/>
      <c r="E130" s="17"/>
      <c r="F130" s="17"/>
      <c r="G130" s="18" t="s">
        <v>143</v>
      </c>
      <c r="H130" s="19">
        <f t="shared" si="0"/>
        <v>0</v>
      </c>
      <c r="I130" s="20"/>
      <c r="J130" s="20"/>
      <c r="K130" s="1"/>
      <c r="L130" s="1"/>
      <c r="M130" s="1"/>
      <c r="N130" s="1"/>
      <c r="O130" s="1"/>
      <c r="P130" s="1"/>
      <c r="Q130" s="1"/>
      <c r="R130" s="1"/>
      <c r="S130" s="1"/>
      <c r="T130" s="1"/>
      <c r="U130" s="1"/>
      <c r="V130" s="1"/>
      <c r="W130" s="1"/>
      <c r="X130" s="1"/>
      <c r="Y130" s="1"/>
      <c r="Z130" s="1"/>
    </row>
    <row r="131" spans="1:26" ht="13.8">
      <c r="A131" s="21">
        <v>45775</v>
      </c>
      <c r="B131" s="21" t="s">
        <v>24</v>
      </c>
      <c r="C131" s="22" t="s">
        <v>25</v>
      </c>
      <c r="D131" s="22"/>
      <c r="E131" s="22" t="s">
        <v>106</v>
      </c>
      <c r="F131" s="22" t="s">
        <v>28</v>
      </c>
      <c r="G131" s="23" t="s">
        <v>144</v>
      </c>
      <c r="H131" s="24">
        <f t="shared" si="0"/>
        <v>0.33333333333333331</v>
      </c>
      <c r="I131" s="25">
        <v>0.33333333333333331</v>
      </c>
      <c r="J131" s="25">
        <v>0.66666666666666663</v>
      </c>
      <c r="K131" s="1"/>
      <c r="L131" s="1"/>
      <c r="M131" s="1"/>
      <c r="N131" s="1"/>
      <c r="O131" s="1"/>
      <c r="P131" s="1"/>
      <c r="Q131" s="1"/>
      <c r="R131" s="1"/>
      <c r="S131" s="1"/>
      <c r="T131" s="1"/>
      <c r="U131" s="1"/>
      <c r="V131" s="1"/>
      <c r="W131" s="1"/>
      <c r="X131" s="1"/>
      <c r="Y131" s="1"/>
      <c r="Z131" s="1"/>
    </row>
    <row r="132" spans="1:26" ht="51">
      <c r="A132" s="11">
        <v>45776</v>
      </c>
      <c r="B132" s="11" t="s">
        <v>13</v>
      </c>
      <c r="C132" s="12" t="s">
        <v>25</v>
      </c>
      <c r="D132" s="12" t="s">
        <v>26</v>
      </c>
      <c r="E132" s="12" t="s">
        <v>27</v>
      </c>
      <c r="F132" s="12" t="s">
        <v>28</v>
      </c>
      <c r="G132" s="13" t="s">
        <v>145</v>
      </c>
      <c r="H132" s="125">
        <f t="shared" si="0"/>
        <v>1.3194444444444453E-2</v>
      </c>
      <c r="I132" s="15">
        <v>0.33333333333333331</v>
      </c>
      <c r="J132" s="15">
        <v>0.34652777777777777</v>
      </c>
      <c r="K132" s="1"/>
      <c r="L132" s="1"/>
      <c r="M132" s="1"/>
      <c r="N132" s="1"/>
      <c r="O132" s="1"/>
      <c r="P132" s="1"/>
      <c r="Q132" s="1"/>
      <c r="R132" s="1"/>
      <c r="S132" s="1"/>
      <c r="T132" s="1"/>
      <c r="U132" s="1"/>
      <c r="V132" s="1"/>
      <c r="W132" s="1"/>
      <c r="X132" s="1"/>
      <c r="Y132" s="1"/>
      <c r="Z132" s="1"/>
    </row>
    <row r="133" spans="1:26" ht="38.4">
      <c r="A133" s="11">
        <v>45776</v>
      </c>
      <c r="B133" s="11" t="s">
        <v>13</v>
      </c>
      <c r="C133" s="12" t="s">
        <v>25</v>
      </c>
      <c r="D133" s="12" t="s">
        <v>26</v>
      </c>
      <c r="E133" s="12" t="s">
        <v>48</v>
      </c>
      <c r="F133" s="12" t="s">
        <v>28</v>
      </c>
      <c r="G133" s="13" t="s">
        <v>146</v>
      </c>
      <c r="H133" s="125">
        <f t="shared" si="0"/>
        <v>6.9444444444444753E-3</v>
      </c>
      <c r="I133" s="15">
        <v>0.34652777777777777</v>
      </c>
      <c r="J133" s="15">
        <v>0.35347222222222224</v>
      </c>
      <c r="K133" s="1"/>
      <c r="L133" s="1"/>
      <c r="M133" s="1"/>
      <c r="N133" s="1"/>
      <c r="O133" s="1"/>
      <c r="P133" s="1"/>
      <c r="Q133" s="1"/>
      <c r="R133" s="1"/>
      <c r="S133" s="1"/>
      <c r="T133" s="1"/>
      <c r="U133" s="1"/>
      <c r="V133" s="1"/>
      <c r="W133" s="1"/>
      <c r="X133" s="1"/>
      <c r="Y133" s="1"/>
      <c r="Z133" s="1"/>
    </row>
    <row r="134" spans="1:26" ht="76.2">
      <c r="A134" s="11">
        <v>45776</v>
      </c>
      <c r="B134" s="11" t="s">
        <v>13</v>
      </c>
      <c r="C134" s="12" t="s">
        <v>25</v>
      </c>
      <c r="D134" s="12" t="s">
        <v>26</v>
      </c>
      <c r="E134" s="12" t="s">
        <v>27</v>
      </c>
      <c r="F134" s="12" t="s">
        <v>28</v>
      </c>
      <c r="G134" s="13" t="s">
        <v>147</v>
      </c>
      <c r="H134" s="125">
        <f t="shared" si="0"/>
        <v>1.3888888888888895E-2</v>
      </c>
      <c r="I134" s="15">
        <v>0.35347222222222224</v>
      </c>
      <c r="J134" s="15">
        <v>0.36736111111111114</v>
      </c>
      <c r="K134" s="1"/>
      <c r="L134" s="1"/>
      <c r="M134" s="1"/>
      <c r="N134" s="1"/>
      <c r="O134" s="1"/>
      <c r="P134" s="1"/>
      <c r="Q134" s="1"/>
      <c r="R134" s="1"/>
      <c r="S134" s="1"/>
      <c r="T134" s="1"/>
      <c r="U134" s="1"/>
      <c r="V134" s="1"/>
      <c r="W134" s="1"/>
      <c r="X134" s="1"/>
      <c r="Y134" s="1"/>
      <c r="Z134" s="1"/>
    </row>
    <row r="135" spans="1:26" ht="76.2">
      <c r="A135" s="11">
        <v>45776</v>
      </c>
      <c r="B135" s="11" t="s">
        <v>13</v>
      </c>
      <c r="C135" s="12" t="s">
        <v>25</v>
      </c>
      <c r="D135" s="12" t="s">
        <v>26</v>
      </c>
      <c r="E135" s="12" t="s">
        <v>48</v>
      </c>
      <c r="F135" s="12" t="s">
        <v>28</v>
      </c>
      <c r="G135" s="13" t="s">
        <v>148</v>
      </c>
      <c r="H135" s="125">
        <f t="shared" si="0"/>
        <v>9.0972222222222177E-2</v>
      </c>
      <c r="I135" s="15">
        <v>0.36736111111111114</v>
      </c>
      <c r="J135" s="15">
        <v>0.45833333333333331</v>
      </c>
      <c r="K135" s="1"/>
      <c r="L135" s="1"/>
      <c r="M135" s="1"/>
      <c r="N135" s="1"/>
      <c r="O135" s="1"/>
      <c r="P135" s="1"/>
      <c r="Q135" s="1"/>
      <c r="R135" s="1"/>
      <c r="S135" s="1"/>
      <c r="T135" s="1"/>
      <c r="U135" s="1"/>
      <c r="V135" s="1"/>
      <c r="W135" s="1"/>
      <c r="X135" s="1"/>
      <c r="Y135" s="1"/>
      <c r="Z135" s="1"/>
    </row>
    <row r="136" spans="1:26" ht="88.8">
      <c r="A136" s="11">
        <v>45776</v>
      </c>
      <c r="B136" s="11" t="s">
        <v>13</v>
      </c>
      <c r="C136" s="12" t="s">
        <v>25</v>
      </c>
      <c r="D136" s="12" t="s">
        <v>26</v>
      </c>
      <c r="E136" s="12" t="s">
        <v>27</v>
      </c>
      <c r="F136" s="12" t="s">
        <v>28</v>
      </c>
      <c r="G136" s="13" t="s">
        <v>149</v>
      </c>
      <c r="H136" s="125">
        <f t="shared" si="0"/>
        <v>1.1805555555555569E-2</v>
      </c>
      <c r="I136" s="15">
        <v>0.45833333333333331</v>
      </c>
      <c r="J136" s="15">
        <v>0.47013888888888888</v>
      </c>
      <c r="K136" s="1"/>
      <c r="L136" s="1"/>
      <c r="M136" s="1"/>
      <c r="N136" s="1"/>
      <c r="O136" s="1"/>
      <c r="P136" s="1"/>
      <c r="Q136" s="1"/>
      <c r="R136" s="1"/>
      <c r="S136" s="1"/>
      <c r="T136" s="1"/>
      <c r="U136" s="1"/>
      <c r="V136" s="1"/>
      <c r="W136" s="1"/>
      <c r="X136" s="1"/>
      <c r="Y136" s="1"/>
      <c r="Z136" s="1"/>
    </row>
    <row r="137" spans="1:26" ht="38.4">
      <c r="A137" s="11">
        <v>45776</v>
      </c>
      <c r="B137" s="11" t="s">
        <v>13</v>
      </c>
      <c r="C137" s="12" t="s">
        <v>25</v>
      </c>
      <c r="D137" s="12" t="s">
        <v>26</v>
      </c>
      <c r="E137" s="12" t="s">
        <v>48</v>
      </c>
      <c r="F137" s="12" t="s">
        <v>28</v>
      </c>
      <c r="G137" s="13" t="s">
        <v>150</v>
      </c>
      <c r="H137" s="125">
        <f t="shared" si="0"/>
        <v>2.9861111111111116E-2</v>
      </c>
      <c r="I137" s="15">
        <v>0.47013888888888888</v>
      </c>
      <c r="J137" s="15">
        <v>0.5</v>
      </c>
      <c r="K137" s="1"/>
      <c r="L137" s="1"/>
      <c r="M137" s="1"/>
      <c r="N137" s="1"/>
      <c r="O137" s="1"/>
      <c r="P137" s="1"/>
      <c r="Q137" s="1"/>
      <c r="R137" s="1"/>
      <c r="S137" s="1"/>
      <c r="T137" s="1"/>
      <c r="U137" s="1"/>
      <c r="V137" s="1"/>
      <c r="W137" s="1"/>
      <c r="X137" s="1"/>
      <c r="Y137" s="1"/>
      <c r="Z137" s="1"/>
    </row>
    <row r="138" spans="1:26" ht="151.80000000000001">
      <c r="A138" s="11">
        <v>45776</v>
      </c>
      <c r="B138" s="11" t="s">
        <v>13</v>
      </c>
      <c r="C138" s="12" t="s">
        <v>25</v>
      </c>
      <c r="D138" s="12" t="s">
        <v>26</v>
      </c>
      <c r="E138" s="12" t="s">
        <v>48</v>
      </c>
      <c r="F138" s="12" t="s">
        <v>28</v>
      </c>
      <c r="G138" s="13" t="s">
        <v>151</v>
      </c>
      <c r="H138" s="125">
        <f t="shared" si="0"/>
        <v>0.21805555555555556</v>
      </c>
      <c r="I138" s="15">
        <v>0.54166666666666663</v>
      </c>
      <c r="J138" s="15">
        <v>0.75972222222222219</v>
      </c>
      <c r="K138" s="1"/>
      <c r="L138" s="1"/>
      <c r="M138" s="1"/>
      <c r="N138" s="1"/>
      <c r="O138" s="1"/>
      <c r="P138" s="1"/>
      <c r="Q138" s="1"/>
      <c r="R138" s="1"/>
      <c r="S138" s="1"/>
      <c r="T138" s="1"/>
      <c r="U138" s="1"/>
      <c r="V138" s="1"/>
      <c r="W138" s="1"/>
      <c r="X138" s="1"/>
      <c r="Y138" s="1"/>
      <c r="Z138" s="1"/>
    </row>
    <row r="139" spans="1:26" ht="51">
      <c r="A139" s="11">
        <v>45777</v>
      </c>
      <c r="B139" s="11" t="s">
        <v>19</v>
      </c>
      <c r="C139" s="12" t="s">
        <v>25</v>
      </c>
      <c r="D139" s="12" t="s">
        <v>26</v>
      </c>
      <c r="E139" s="12" t="s">
        <v>27</v>
      </c>
      <c r="F139" s="12" t="s">
        <v>28</v>
      </c>
      <c r="G139" s="13" t="s">
        <v>145</v>
      </c>
      <c r="H139" s="125">
        <f t="shared" si="0"/>
        <v>1.5972222222222221E-2</v>
      </c>
      <c r="I139" s="15">
        <v>0.33333333333333331</v>
      </c>
      <c r="J139" s="15">
        <v>0.34930555555555554</v>
      </c>
      <c r="K139" s="1"/>
      <c r="L139" s="1"/>
      <c r="M139" s="1"/>
      <c r="N139" s="1"/>
      <c r="O139" s="1"/>
      <c r="P139" s="1"/>
      <c r="Q139" s="1"/>
      <c r="R139" s="1"/>
      <c r="S139" s="1"/>
      <c r="T139" s="1"/>
      <c r="U139" s="1"/>
      <c r="V139" s="1"/>
      <c r="W139" s="1"/>
      <c r="X139" s="1"/>
      <c r="Y139" s="1"/>
      <c r="Z139" s="1"/>
    </row>
    <row r="140" spans="1:26" ht="63.6">
      <c r="A140" s="11">
        <v>45777</v>
      </c>
      <c r="B140" s="11" t="s">
        <v>19</v>
      </c>
      <c r="C140" s="12" t="s">
        <v>25</v>
      </c>
      <c r="D140" s="12" t="s">
        <v>26</v>
      </c>
      <c r="E140" s="12" t="s">
        <v>48</v>
      </c>
      <c r="F140" s="12" t="s">
        <v>28</v>
      </c>
      <c r="G140" s="13" t="s">
        <v>152</v>
      </c>
      <c r="H140" s="125">
        <f t="shared" si="0"/>
        <v>0.14027777777777778</v>
      </c>
      <c r="I140" s="15">
        <v>0.34930555555555554</v>
      </c>
      <c r="J140" s="15">
        <v>0.48958333333333331</v>
      </c>
      <c r="K140" s="1"/>
      <c r="L140" s="1"/>
      <c r="M140" s="1"/>
      <c r="N140" s="1"/>
      <c r="O140" s="1"/>
      <c r="P140" s="1"/>
      <c r="Q140" s="1"/>
      <c r="R140" s="1"/>
      <c r="S140" s="1"/>
      <c r="T140" s="1"/>
      <c r="U140" s="1"/>
      <c r="V140" s="1"/>
      <c r="W140" s="1"/>
      <c r="X140" s="1"/>
      <c r="Y140" s="1"/>
      <c r="Z140" s="1"/>
    </row>
    <row r="141" spans="1:26" ht="51">
      <c r="A141" s="11">
        <v>45777</v>
      </c>
      <c r="B141" s="11" t="s">
        <v>19</v>
      </c>
      <c r="C141" s="12" t="s">
        <v>25</v>
      </c>
      <c r="D141" s="12" t="s">
        <v>26</v>
      </c>
      <c r="E141" s="12" t="s">
        <v>27</v>
      </c>
      <c r="F141" s="12" t="s">
        <v>28</v>
      </c>
      <c r="G141" s="13" t="s">
        <v>153</v>
      </c>
      <c r="H141" s="125">
        <f t="shared" si="0"/>
        <v>1.0416666666666685E-2</v>
      </c>
      <c r="I141" s="15">
        <v>0.48958333333333331</v>
      </c>
      <c r="J141" s="15">
        <v>0.5</v>
      </c>
      <c r="K141" s="1"/>
      <c r="L141" s="1"/>
      <c r="M141" s="1"/>
      <c r="N141" s="1"/>
      <c r="O141" s="1"/>
      <c r="P141" s="1"/>
      <c r="Q141" s="1"/>
      <c r="R141" s="1"/>
      <c r="S141" s="1"/>
      <c r="T141" s="1"/>
      <c r="U141" s="1"/>
      <c r="V141" s="1"/>
      <c r="W141" s="1"/>
      <c r="X141" s="1"/>
      <c r="Y141" s="1"/>
      <c r="Z141" s="1"/>
    </row>
    <row r="142" spans="1:26" ht="63.6">
      <c r="A142" s="11">
        <v>45777</v>
      </c>
      <c r="B142" s="11" t="s">
        <v>19</v>
      </c>
      <c r="C142" s="12" t="s">
        <v>25</v>
      </c>
      <c r="D142" s="12" t="s">
        <v>26</v>
      </c>
      <c r="E142" s="12" t="s">
        <v>27</v>
      </c>
      <c r="F142" s="12" t="s">
        <v>28</v>
      </c>
      <c r="G142" s="13" t="s">
        <v>154</v>
      </c>
      <c r="H142" s="125">
        <f t="shared" si="0"/>
        <v>3.6111111111111094E-2</v>
      </c>
      <c r="I142" s="15">
        <v>0.54166666666666663</v>
      </c>
      <c r="J142" s="15">
        <v>0.57777777777777772</v>
      </c>
      <c r="K142" s="1"/>
      <c r="L142" s="1"/>
      <c r="M142" s="1"/>
      <c r="N142" s="1"/>
      <c r="O142" s="1"/>
      <c r="P142" s="1"/>
      <c r="Q142" s="1"/>
      <c r="R142" s="1"/>
      <c r="S142" s="1"/>
      <c r="T142" s="1"/>
      <c r="U142" s="1"/>
      <c r="V142" s="1"/>
      <c r="W142" s="1"/>
      <c r="X142" s="1"/>
      <c r="Y142" s="1"/>
      <c r="Z142" s="1"/>
    </row>
    <row r="143" spans="1:26" ht="63.6">
      <c r="A143" s="11">
        <v>45777</v>
      </c>
      <c r="B143" s="11" t="s">
        <v>19</v>
      </c>
      <c r="C143" s="12" t="s">
        <v>25</v>
      </c>
      <c r="D143" s="12" t="s">
        <v>26</v>
      </c>
      <c r="E143" s="12" t="s">
        <v>27</v>
      </c>
      <c r="F143" s="12" t="s">
        <v>28</v>
      </c>
      <c r="G143" s="13" t="s">
        <v>155</v>
      </c>
      <c r="H143" s="125">
        <f t="shared" si="0"/>
        <v>9.0277777777778567E-3</v>
      </c>
      <c r="I143" s="15">
        <v>0.57777777777777772</v>
      </c>
      <c r="J143" s="15">
        <v>0.58680555555555558</v>
      </c>
      <c r="K143" s="1"/>
      <c r="L143" s="1"/>
      <c r="M143" s="1"/>
      <c r="N143" s="1"/>
      <c r="O143" s="1"/>
      <c r="P143" s="1"/>
      <c r="Q143" s="1"/>
      <c r="R143" s="1"/>
      <c r="S143" s="1"/>
      <c r="T143" s="1"/>
      <c r="U143" s="1"/>
      <c r="V143" s="1"/>
      <c r="W143" s="1"/>
      <c r="X143" s="1"/>
      <c r="Y143" s="1"/>
      <c r="Z143" s="1"/>
    </row>
    <row r="144" spans="1:26" ht="38.4">
      <c r="A144" s="11">
        <v>45777</v>
      </c>
      <c r="B144" s="11" t="s">
        <v>19</v>
      </c>
      <c r="C144" s="12" t="s">
        <v>25</v>
      </c>
      <c r="D144" s="12" t="s">
        <v>26</v>
      </c>
      <c r="E144" s="12" t="s">
        <v>48</v>
      </c>
      <c r="F144" s="12" t="s">
        <v>28</v>
      </c>
      <c r="G144" s="124" t="s">
        <v>156</v>
      </c>
      <c r="H144" s="125">
        <f t="shared" si="0"/>
        <v>3.819444444444442E-2</v>
      </c>
      <c r="I144" s="15">
        <v>0.58680555555555558</v>
      </c>
      <c r="J144" s="15">
        <v>0.625</v>
      </c>
      <c r="K144" s="1"/>
      <c r="L144" s="1"/>
      <c r="M144" s="1"/>
      <c r="N144" s="1"/>
      <c r="O144" s="1"/>
      <c r="P144" s="1"/>
      <c r="Q144" s="1"/>
      <c r="R144" s="1"/>
      <c r="S144" s="1"/>
      <c r="T144" s="1"/>
      <c r="U144" s="1"/>
      <c r="V144" s="1"/>
      <c r="W144" s="1"/>
      <c r="X144" s="1"/>
      <c r="Y144" s="1"/>
      <c r="Z144" s="1"/>
    </row>
    <row r="145" spans="1:26" ht="63.6">
      <c r="A145" s="11">
        <v>45777</v>
      </c>
      <c r="B145" s="11" t="s">
        <v>19</v>
      </c>
      <c r="C145" s="12" t="s">
        <v>25</v>
      </c>
      <c r="D145" s="12" t="s">
        <v>26</v>
      </c>
      <c r="E145" s="12" t="s">
        <v>27</v>
      </c>
      <c r="F145" s="12" t="s">
        <v>28</v>
      </c>
      <c r="G145" s="13" t="s">
        <v>157</v>
      </c>
      <c r="H145" s="125">
        <f t="shared" si="0"/>
        <v>1.388888888888884E-2</v>
      </c>
      <c r="I145" s="15">
        <v>0.625</v>
      </c>
      <c r="J145" s="15">
        <v>0.63888888888888884</v>
      </c>
      <c r="K145" s="1"/>
      <c r="L145" s="1"/>
      <c r="M145" s="1"/>
      <c r="N145" s="1"/>
      <c r="O145" s="1"/>
      <c r="P145" s="1"/>
      <c r="Q145" s="1"/>
      <c r="R145" s="1"/>
      <c r="S145" s="1"/>
      <c r="T145" s="1"/>
      <c r="U145" s="1"/>
      <c r="V145" s="1"/>
      <c r="W145" s="1"/>
      <c r="X145" s="1"/>
      <c r="Y145" s="1"/>
      <c r="Z145" s="1"/>
    </row>
    <row r="146" spans="1:26" ht="38.4">
      <c r="A146" s="11">
        <v>45777</v>
      </c>
      <c r="B146" s="11" t="s">
        <v>19</v>
      </c>
      <c r="C146" s="12" t="s">
        <v>25</v>
      </c>
      <c r="D146" s="12" t="s">
        <v>26</v>
      </c>
      <c r="E146" s="12" t="s">
        <v>48</v>
      </c>
      <c r="F146" s="12" t="s">
        <v>28</v>
      </c>
      <c r="G146" s="124" t="s">
        <v>158</v>
      </c>
      <c r="H146" s="125">
        <f t="shared" si="0"/>
        <v>9.027777777777779E-2</v>
      </c>
      <c r="I146" s="15">
        <v>0.63888888888888884</v>
      </c>
      <c r="J146" s="15">
        <v>0.72916666666666663</v>
      </c>
      <c r="K146" s="1"/>
      <c r="L146" s="1"/>
      <c r="M146" s="1"/>
      <c r="N146" s="1"/>
      <c r="O146" s="1"/>
      <c r="P146" s="1"/>
      <c r="Q146" s="1"/>
      <c r="R146" s="1"/>
      <c r="S146" s="1"/>
      <c r="T146" s="1"/>
      <c r="U146" s="1"/>
      <c r="V146" s="1"/>
      <c r="W146" s="1"/>
      <c r="X146" s="1"/>
      <c r="Y146" s="1"/>
      <c r="Z146" s="1"/>
    </row>
    <row r="147" spans="1:26" ht="13.5" customHeight="1">
      <c r="A147" s="5"/>
      <c r="B147" s="5"/>
      <c r="C147" s="1"/>
      <c r="D147" s="1"/>
      <c r="E147" s="1"/>
      <c r="F147" s="1"/>
      <c r="G147" s="3"/>
      <c r="H147" s="26"/>
      <c r="I147" s="27"/>
      <c r="J147" s="27"/>
      <c r="K147" s="1"/>
      <c r="L147" s="1"/>
      <c r="M147" s="1"/>
      <c r="N147" s="1"/>
      <c r="O147" s="1"/>
      <c r="P147" s="1"/>
      <c r="Q147" s="1"/>
      <c r="R147" s="1"/>
      <c r="S147" s="1"/>
      <c r="T147" s="1"/>
      <c r="U147" s="1"/>
      <c r="V147" s="1"/>
      <c r="W147" s="1"/>
      <c r="X147" s="1"/>
      <c r="Y147" s="1"/>
      <c r="Z147" s="1"/>
    </row>
    <row r="148" spans="1:26" ht="13.5" customHeight="1">
      <c r="A148" s="28"/>
      <c r="B148" s="28"/>
      <c r="C148" s="33"/>
      <c r="D148" s="30"/>
      <c r="E148" s="31" t="s">
        <v>159</v>
      </c>
      <c r="F148" s="32">
        <v>152</v>
      </c>
      <c r="G148" s="1"/>
      <c r="H148" s="3"/>
      <c r="I148" s="1"/>
      <c r="J148" s="1"/>
      <c r="K148" s="1"/>
      <c r="L148" s="1"/>
      <c r="M148" s="1"/>
      <c r="N148" s="1"/>
      <c r="O148" s="1"/>
      <c r="P148" s="1"/>
      <c r="Q148" s="1"/>
      <c r="R148" s="1"/>
      <c r="S148" s="1"/>
      <c r="T148" s="1"/>
      <c r="U148" s="1"/>
      <c r="V148" s="1"/>
      <c r="W148" s="1"/>
      <c r="X148" s="1"/>
      <c r="Y148" s="1"/>
      <c r="Z148" s="1"/>
    </row>
    <row r="149" spans="1:26" ht="13.5" customHeight="1">
      <c r="A149" s="28"/>
      <c r="B149" s="28"/>
      <c r="D149" s="34"/>
      <c r="E149" s="35" t="s">
        <v>160</v>
      </c>
      <c r="F149" s="127">
        <v>19</v>
      </c>
      <c r="H149" s="3"/>
      <c r="I149" s="1"/>
      <c r="J149" s="1"/>
      <c r="K149" s="1"/>
      <c r="L149" s="1"/>
      <c r="M149" s="1"/>
      <c r="N149" s="1"/>
      <c r="O149" s="1"/>
      <c r="P149" s="1"/>
      <c r="Q149" s="1"/>
      <c r="R149" s="1"/>
      <c r="S149" s="1"/>
      <c r="T149" s="1"/>
      <c r="U149" s="1"/>
      <c r="V149" s="1"/>
      <c r="W149" s="1"/>
      <c r="X149" s="1"/>
      <c r="Y149" s="1"/>
      <c r="Z149" s="1"/>
    </row>
    <row r="150" spans="1:26" ht="13.5" customHeight="1">
      <c r="A150" s="136" t="s">
        <v>161</v>
      </c>
      <c r="B150" s="137"/>
      <c r="C150" s="137"/>
      <c r="D150" s="36"/>
      <c r="E150" s="34"/>
      <c r="F150" s="34"/>
      <c r="G150" s="1"/>
      <c r="H150" s="3"/>
      <c r="I150" s="1"/>
      <c r="J150" s="1"/>
      <c r="K150" s="1"/>
      <c r="L150" s="1"/>
      <c r="M150" s="1"/>
      <c r="N150" s="1"/>
      <c r="O150" s="1"/>
      <c r="P150" s="1"/>
      <c r="Q150" s="1"/>
      <c r="R150" s="1"/>
      <c r="S150" s="1"/>
      <c r="T150" s="1"/>
      <c r="U150" s="1"/>
      <c r="V150" s="1"/>
      <c r="W150" s="1"/>
      <c r="X150" s="1"/>
      <c r="Y150" s="1"/>
      <c r="Z150" s="1"/>
    </row>
    <row r="151" spans="1:26" ht="13.5" customHeight="1">
      <c r="A151" s="37"/>
      <c r="B151" s="37"/>
      <c r="C151" s="30"/>
      <c r="D151" s="30"/>
      <c r="E151" s="38" t="s">
        <v>162</v>
      </c>
      <c r="F151" s="39">
        <f>SUMIF(F9:F146,"Billable",H9:H146)</f>
        <v>0.33333333333333343</v>
      </c>
      <c r="G151" s="1"/>
      <c r="H151" s="40"/>
      <c r="I151" s="1"/>
      <c r="J151" s="1"/>
      <c r="K151" s="1"/>
      <c r="L151" s="1"/>
      <c r="M151" s="1"/>
      <c r="N151" s="1"/>
      <c r="O151" s="1"/>
      <c r="P151" s="1"/>
      <c r="Q151" s="1"/>
      <c r="R151" s="1"/>
      <c r="S151" s="1"/>
      <c r="T151" s="1"/>
      <c r="U151" s="1"/>
      <c r="V151" s="1"/>
      <c r="W151" s="1"/>
      <c r="X151" s="1"/>
      <c r="Y151" s="1"/>
      <c r="Z151" s="1"/>
    </row>
    <row r="152" spans="1:26" ht="15" customHeight="1">
      <c r="A152" s="138" t="s">
        <v>163</v>
      </c>
      <c r="B152" s="137"/>
      <c r="C152" s="137"/>
      <c r="D152" s="41"/>
      <c r="E152" s="128" t="s">
        <v>164</v>
      </c>
      <c r="F152" s="42">
        <f>SUMIF(F9:F146,"Non-Billable",H9:H146)</f>
        <v>6.1006944444444473</v>
      </c>
      <c r="G152" s="1"/>
      <c r="H152" s="3"/>
      <c r="I152" s="1"/>
      <c r="J152" s="1"/>
      <c r="K152" s="1"/>
      <c r="L152" s="1"/>
      <c r="M152" s="1"/>
      <c r="N152" s="1"/>
      <c r="O152" s="1"/>
      <c r="P152" s="1"/>
      <c r="Q152" s="1"/>
      <c r="R152" s="1"/>
      <c r="S152" s="1"/>
      <c r="T152" s="1"/>
      <c r="U152" s="1"/>
      <c r="V152" s="1"/>
      <c r="W152" s="1"/>
      <c r="X152" s="1"/>
      <c r="Y152" s="1"/>
      <c r="Z152" s="1"/>
    </row>
    <row r="153" spans="1:26" ht="13.5" customHeight="1">
      <c r="A153" s="34"/>
      <c r="B153" s="34"/>
      <c r="C153" s="34"/>
      <c r="D153" s="34"/>
      <c r="E153" s="43" t="s">
        <v>165</v>
      </c>
      <c r="F153" s="44">
        <f>F151+F152</f>
        <v>6.4340277777777803</v>
      </c>
      <c r="G153" s="1"/>
      <c r="H153" s="3"/>
      <c r="I153" s="1"/>
      <c r="J153" s="1"/>
      <c r="K153" s="1"/>
      <c r="L153" s="1"/>
      <c r="M153" s="1"/>
      <c r="N153" s="1"/>
      <c r="O153" s="1"/>
      <c r="P153" s="1"/>
      <c r="Q153" s="1"/>
      <c r="R153" s="1"/>
      <c r="S153" s="1"/>
      <c r="T153" s="1"/>
      <c r="U153" s="1"/>
      <c r="V153" s="1"/>
      <c r="W153" s="1"/>
      <c r="X153" s="1"/>
      <c r="Y153" s="1"/>
      <c r="Z153" s="1"/>
    </row>
    <row r="154" spans="1:26" ht="13.5" customHeight="1">
      <c r="A154" s="34"/>
      <c r="B154" s="34"/>
      <c r="C154" s="34"/>
      <c r="D154" s="34"/>
      <c r="E154" s="34"/>
      <c r="F154" s="34"/>
      <c r="G154" s="1"/>
      <c r="H154" s="3"/>
      <c r="I154" s="1"/>
      <c r="J154" s="1"/>
      <c r="K154" s="1"/>
      <c r="L154" s="1"/>
      <c r="M154" s="1"/>
      <c r="N154" s="1"/>
      <c r="O154" s="1"/>
      <c r="P154" s="1"/>
      <c r="Q154" s="1"/>
      <c r="R154" s="1"/>
      <c r="S154" s="1"/>
      <c r="T154" s="1"/>
      <c r="U154" s="1"/>
      <c r="V154" s="1"/>
      <c r="W154" s="1"/>
      <c r="X154" s="1"/>
      <c r="Y154" s="1"/>
      <c r="Z154" s="1"/>
    </row>
    <row r="155" spans="1:26" ht="13.5" customHeight="1">
      <c r="A155" s="34"/>
      <c r="B155" s="34"/>
      <c r="C155" s="34"/>
      <c r="D155" s="34"/>
      <c r="E155" s="45" t="s">
        <v>166</v>
      </c>
      <c r="F155" s="46"/>
      <c r="G155" s="1"/>
      <c r="H155" s="3"/>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47"/>
      <c r="F156" s="1"/>
      <c r="G156" s="1"/>
      <c r="H156" s="3"/>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3.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3.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3.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3.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3.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3.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3.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3.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3.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3.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3.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3.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3.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3.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3.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3.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3.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3.5" customHeight="1">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3.5"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3.5" customHeight="1">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3.5" customHeight="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3.5" customHeight="1">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3.5" customHeight="1">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spans="1:26" ht="13.5" customHeight="1">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spans="1:26" ht="13.5" customHeight="1">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spans="1:26" ht="13.5" customHeight="1">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spans="1:26" ht="13.5" customHeight="1">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spans="1:26" ht="13.5" customHeight="1">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spans="1:26" ht="13.5" customHeight="1">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spans="1:26" ht="13.5" customHeight="1">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spans="1:26" ht="13.5" customHeight="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spans="1:26" ht="13.5" customHeight="1">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spans="1:26" ht="13.5" customHeight="1">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spans="1:26" ht="13.5" customHeight="1">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spans="1:26" ht="13.5" customHeight="1">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spans="1:26" ht="13.5" customHeight="1">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spans="1:26" ht="13.5" customHeight="1">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spans="1:26" ht="13.5" customHeight="1">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spans="1:26" ht="13.5" customHeight="1">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spans="1:26" ht="13.5" customHeight="1">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row>
    <row r="1041" spans="1:26" ht="13.5" customHeight="1">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row>
    <row r="1042" spans="1:26" ht="13.5" customHeight="1">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row>
    <row r="1043" spans="1:26" ht="13.5" customHeight="1">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row>
    <row r="1044" spans="1:26" ht="13.5" customHeight="1">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row>
    <row r="1045" spans="1:26" ht="13.5" customHeight="1">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row>
    <row r="1046" spans="1:26" ht="13.5" customHeight="1">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row>
    <row r="1047" spans="1:26" ht="13.5" customHeight="1">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row>
    <row r="1048" spans="1:26" ht="13.5" customHeight="1">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row>
    <row r="1049" spans="1:26" ht="13.5" customHeight="1">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row>
    <row r="1050" spans="1:26" ht="13.5" customHeight="1">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row>
    <row r="1051" spans="1:26" ht="13.5" customHeight="1">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row>
    <row r="1052" spans="1:26" ht="13.5" customHeight="1">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row>
    <row r="1053" spans="1:26" ht="13.5" customHeight="1">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row>
    <row r="1054" spans="1:26" ht="13.5" customHeight="1">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row>
    <row r="1055" spans="1:26" ht="13.5" customHeight="1">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row>
    <row r="1056" spans="1:26" ht="13.5" customHeight="1">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row>
    <row r="1057" spans="1:26" ht="13.5" customHeight="1">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row>
    <row r="1058" spans="1:26" ht="13.5" customHeight="1">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row>
    <row r="1059" spans="1:26" ht="13.5" customHeight="1">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row>
    <row r="1060" spans="1:26" ht="13.5" customHeight="1">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row>
    <row r="1061" spans="1:26" ht="13.5" customHeight="1">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row>
    <row r="1062" spans="1:26" ht="13.5" customHeight="1">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row>
    <row r="1063" spans="1:26" ht="13.5" customHeight="1">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row>
    <row r="1064" spans="1:26" ht="13.5" customHeight="1">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row>
    <row r="1065" spans="1:26" ht="13.5" customHeight="1">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row>
    <row r="1066" spans="1:26" ht="13.5" customHeight="1">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row>
    <row r="1067" spans="1:26" ht="13.5" customHeight="1">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row>
    <row r="1068" spans="1:26" ht="13.5" customHeight="1">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row>
    <row r="1069" spans="1:26" ht="13.5" customHeight="1">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row>
    <row r="1070" spans="1:26" ht="13.5" customHeight="1">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row>
    <row r="1071" spans="1:26" ht="13.5" customHeight="1">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row>
    <row r="1072" spans="1:26" ht="13.5" customHeight="1">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row>
    <row r="1073" spans="1:26" ht="13.5" customHeight="1">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row>
    <row r="1074" spans="1:26" ht="13.5" customHeight="1">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row>
    <row r="1075" spans="1:26" ht="13.5" customHeight="1">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row>
    <row r="1076" spans="1:26" ht="13.5" customHeight="1">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row>
    <row r="1077" spans="1:26" ht="13.5" customHeight="1">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row>
    <row r="1078" spans="1:26" ht="13.5" customHeight="1">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row>
    <row r="1079" spans="1:26" ht="13.5" customHeight="1">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row>
    <row r="1080" spans="1:26" ht="13.5" customHeight="1">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row>
    <row r="1081" spans="1:26" ht="13.5" customHeight="1">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row>
    <row r="1082" spans="1:26" ht="13.5" customHeight="1">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row>
    <row r="1083" spans="1:26" ht="13.5" customHeight="1">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row>
    <row r="1084" spans="1:26" ht="13.5" customHeight="1">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row>
    <row r="1085" spans="1:26" ht="13.5" customHeight="1">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row>
    <row r="1086" spans="1:26" ht="13.5" customHeight="1">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row>
    <row r="1087" spans="1:26" ht="13.5" customHeight="1">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row>
    <row r="1088" spans="1:26" ht="13.5" customHeight="1">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row>
    <row r="1089" spans="1:26" ht="13.5" customHeight="1">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row>
    <row r="1090" spans="1:26" ht="13.5" customHeight="1">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row>
    <row r="1091" spans="1:26" ht="13.5" customHeight="1">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row>
    <row r="1092" spans="1:26" ht="13.5" customHeight="1">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row>
    <row r="1093" spans="1:26" ht="13.5" customHeight="1">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row>
    <row r="1094" spans="1:26" ht="13.5" customHeight="1">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row>
    <row r="1095" spans="1:26" ht="13.5" customHeight="1">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row>
    <row r="1096" spans="1:26" ht="13.5" customHeight="1">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row>
    <row r="1097" spans="1:26" ht="13.5" customHeight="1">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row>
    <row r="1098" spans="1:26" ht="13.5" customHeight="1">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row>
    <row r="1099" spans="1:26" ht="13.5" customHeight="1">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row>
    <row r="1100" spans="1:26" ht="13.5" customHeight="1">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row>
    <row r="1101" spans="1:26" ht="13.5" customHeight="1">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row>
    <row r="1102" spans="1:26" ht="13.5" customHeight="1">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row>
    <row r="1103" spans="1:26" ht="13.5" customHeight="1">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row>
    <row r="1104" spans="1:26" ht="13.5" customHeight="1">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row>
    <row r="1105" spans="1:26" ht="13.5" customHeight="1">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row>
    <row r="1106" spans="1:26" ht="13.5" customHeight="1">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row>
    <row r="1107" spans="1:26" ht="13.5" customHeight="1">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row>
  </sheetData>
  <mergeCells count="2">
    <mergeCell ref="A150:C150"/>
    <mergeCell ref="A152:C152"/>
  </mergeCells>
  <conditionalFormatting sqref="A6:B6 D7:E7">
    <cfRule type="containsText" dxfId="95" priority="1" operator="containsText" text="Religious Leave">
      <formula>NOT(ISERROR(SEARCH(("Religious Leave"),(A6))))</formula>
    </cfRule>
    <cfRule type="containsText" dxfId="94" priority="2" operator="containsText" text="Birthday Leave">
      <formula>NOT(ISERROR(SEARCH(("Birthday Leave"),(A6))))</formula>
    </cfRule>
    <cfRule type="containsText" dxfId="93" priority="3" operator="containsText" text="Study Leave">
      <formula>NOT(ISERROR(SEARCH(("Study Leave"),(A6))))</formula>
    </cfRule>
    <cfRule type="containsText" dxfId="92" priority="4" operator="containsText" text="Family Responsibility Leave">
      <formula>NOT(ISERROR(SEARCH(("Family Responsibility Leave"),(A6))))</formula>
    </cfRule>
    <cfRule type="containsText" dxfId="91" priority="5" operator="containsText" text="Sick Leave">
      <formula>NOT(ISERROR(SEARCH(("Sick Leave"),(A6))))</formula>
    </cfRule>
    <cfRule type="containsText" dxfId="90" priority="6" operator="containsText" text="Annual Leave">
      <formula>NOT(ISERROR(SEARCH(("Annual Leave"),(A6))))</formula>
    </cfRule>
    <cfRule type="cellIs" dxfId="89" priority="7" operator="equal">
      <formula>"Public Holiday"</formula>
    </cfRule>
  </conditionalFormatting>
  <conditionalFormatting sqref="B8:B156">
    <cfRule type="containsText" dxfId="88" priority="8" operator="containsText" text="Saturday">
      <formula>NOT(ISERROR(SEARCH(("Saturday"),(B8))))</formula>
    </cfRule>
    <cfRule type="containsText" dxfId="87" priority="9" operator="containsText" text="Sunday">
      <formula>NOT(ISERROR(SEARCH(("Sunday"),(B8))))</formula>
    </cfRule>
  </conditionalFormatting>
  <conditionalFormatting sqref="D148:E148 D150:E152 E155">
    <cfRule type="containsText" dxfId="86" priority="10" operator="containsText" text="Religious Leave">
      <formula>NOT(ISERROR(SEARCH(("Religious Leave"),(D148))))</formula>
    </cfRule>
    <cfRule type="containsText" dxfId="85" priority="11" operator="containsText" text="Birthday Leave">
      <formula>NOT(ISERROR(SEARCH(("Birthday Leave"),(D148))))</formula>
    </cfRule>
    <cfRule type="containsText" dxfId="84" priority="12" operator="containsText" text="Study Leave">
      <formula>NOT(ISERROR(SEARCH(("Study Leave"),(D148))))</formula>
    </cfRule>
    <cfRule type="containsText" dxfId="83" priority="13" operator="containsText" text="Family Responsibility Leave">
      <formula>NOT(ISERROR(SEARCH(("Family Responsibility Leave"),(D148))))</formula>
    </cfRule>
    <cfRule type="containsText" dxfId="82" priority="14" operator="containsText" text="Sick Leave">
      <formula>NOT(ISERROR(SEARCH(("Sick Leave"),(D148))))</formula>
    </cfRule>
    <cfRule type="containsText" dxfId="81" priority="15" operator="containsText" text="Annual Leave">
      <formula>NOT(ISERROR(SEARCH(("Annual Leave"),(D148))))</formula>
    </cfRule>
    <cfRule type="cellIs" dxfId="80" priority="16" operator="equal">
      <formula>"Public Holiday"</formula>
    </cfRule>
  </conditionalFormatting>
  <dataValidations count="1">
    <dataValidation type="custom" allowBlank="1" showInputMessage="1" showErrorMessage="1" prompt="Invalid Time Format - Please input a valid time. For e.g. 08:00" sqref="I9:J77 I90:J147" xr:uid="{00000000-0002-0000-0000-000002000000}">
      <formula1>AND(GTE(I9,MIN((0),(0.999988425925926))),LTE(I9,MAX((0),(0.999988425925926))))</formula1>
    </dataValidation>
  </dataValidations>
  <pageMargins left="0.7" right="0.7" top="0.75" bottom="0.75" header="0" footer="0"/>
  <pageSetup orientation="landscape" r:id="rId1"/>
  <drawing r:id="rId2"/>
  <extLst>
    <ext xmlns:x14="http://schemas.microsoft.com/office/spreadsheetml/2009/9/main" uri="{CCE6A557-97BC-4b89-ADB6-D9C93CAAB3DF}">
      <x14:dataValidations xmlns:xm="http://schemas.microsoft.com/office/excel/2006/main" count="4">
        <x14:dataValidation type="list" allowBlank="1" showErrorMessage="1" xr:uid="{00000000-0002-0000-0000-000004000000}">
          <x14:formula1>
            <xm:f>Key!$H$3:$H$76</xm:f>
          </x14:formula1>
          <xm:sqref>B5</xm:sqref>
        </x14:dataValidation>
        <x14:dataValidation type="list" allowBlank="1" showErrorMessage="1" xr:uid="{00000000-0002-0000-0000-000003000000}">
          <x14:formula1>
            <xm:f>Key!$F$3:$F$47</xm:f>
          </x14:formula1>
          <xm:sqref>E9:E55 E57:E79 E90:E147</xm:sqref>
        </x14:dataValidation>
        <x14:dataValidation type="list" allowBlank="1" showErrorMessage="1" xr:uid="{00000000-0002-0000-0000-000000000000}">
          <x14:formula1>
            <xm:f>Key!$K$3:$K$4</xm:f>
          </x14:formula1>
          <xm:sqref>F9:F147</xm:sqref>
        </x14:dataValidation>
        <x14:dataValidation type="list" allowBlank="1" showErrorMessage="1" xr:uid="{00000000-0002-0000-0000-000001000000}">
          <x14:formula1>
            <xm:f>Key!$B$2:$B$43</xm:f>
          </x14:formula1>
          <xm:sqref>C9:C147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59765625" defaultRowHeight="15" customHeight="1"/>
  <cols>
    <col min="1" max="1" width="12" customWidth="1"/>
    <col min="2" max="2" width="13.09765625" customWidth="1"/>
    <col min="3" max="3" width="16.09765625" customWidth="1"/>
    <col min="4" max="5" width="20" customWidth="1"/>
    <col min="6" max="6" width="23.09765625" customWidth="1"/>
    <col min="7" max="7" width="34" customWidth="1"/>
    <col min="8" max="26" width="8.59765625" customWidth="1"/>
  </cols>
  <sheetData>
    <row r="1" spans="1:26" ht="13.5" customHeight="1">
      <c r="A1" s="1"/>
      <c r="B1" s="1"/>
      <c r="C1" s="1"/>
      <c r="D1" s="1"/>
      <c r="E1" s="1"/>
      <c r="F1" s="1"/>
      <c r="G1" s="1"/>
      <c r="H1" s="1"/>
      <c r="I1" s="1"/>
      <c r="J1" s="1"/>
      <c r="K1" s="1"/>
      <c r="L1" s="1"/>
      <c r="M1" s="1"/>
      <c r="N1" s="1"/>
      <c r="O1" s="1"/>
      <c r="P1" s="1"/>
      <c r="Q1" s="1"/>
      <c r="R1" s="1"/>
      <c r="S1" s="1"/>
      <c r="T1" s="1"/>
      <c r="U1" s="1"/>
      <c r="V1" s="1"/>
      <c r="W1" s="1"/>
      <c r="X1" s="1"/>
      <c r="Y1" s="1"/>
      <c r="Z1" s="1"/>
    </row>
    <row r="2" spans="1:26" ht="13.5" customHeight="1">
      <c r="A2" s="1"/>
      <c r="B2" s="1"/>
      <c r="C2" s="1"/>
      <c r="D2" s="1"/>
      <c r="E2" s="1"/>
      <c r="F2" s="1"/>
      <c r="G2" s="1"/>
      <c r="H2" s="1"/>
      <c r="I2" s="1"/>
      <c r="J2" s="1"/>
      <c r="K2" s="1"/>
      <c r="L2" s="1"/>
      <c r="M2" s="1"/>
      <c r="N2" s="1"/>
      <c r="O2" s="1"/>
      <c r="P2" s="1"/>
      <c r="Q2" s="1"/>
      <c r="R2" s="1"/>
      <c r="S2" s="1"/>
      <c r="T2" s="1"/>
      <c r="U2" s="1"/>
      <c r="V2" s="1"/>
      <c r="W2" s="1"/>
      <c r="X2" s="1"/>
      <c r="Y2" s="1"/>
      <c r="Z2" s="1"/>
    </row>
    <row r="3" spans="1:26" ht="13.5" customHeight="1">
      <c r="A3" s="1"/>
      <c r="B3" s="1"/>
      <c r="C3" s="1"/>
      <c r="D3" s="1"/>
      <c r="E3" s="1"/>
      <c r="F3" s="1"/>
      <c r="G3" s="1"/>
      <c r="H3" s="1"/>
      <c r="I3" s="1"/>
      <c r="J3" s="1"/>
      <c r="K3" s="1"/>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 t="s">
        <v>0</v>
      </c>
      <c r="B5" s="1" t="s">
        <v>15</v>
      </c>
      <c r="C5" s="2"/>
      <c r="D5" s="1"/>
      <c r="E5" s="1"/>
      <c r="F5" s="1"/>
      <c r="G5" s="1"/>
      <c r="H5" s="3"/>
      <c r="I5" s="1"/>
      <c r="J5" s="1"/>
      <c r="K5" s="1"/>
      <c r="L5" s="1"/>
      <c r="M5" s="1"/>
      <c r="N5" s="1"/>
      <c r="O5" s="1"/>
      <c r="P5" s="1"/>
      <c r="Q5" s="1"/>
      <c r="R5" s="1"/>
      <c r="S5" s="1"/>
      <c r="T5" s="1"/>
      <c r="U5" s="1"/>
      <c r="V5" s="1"/>
      <c r="W5" s="1"/>
      <c r="X5" s="1"/>
      <c r="Y5" s="1"/>
      <c r="Z5" s="1"/>
    </row>
    <row r="6" spans="1:26" ht="13.5" customHeight="1">
      <c r="A6" s="2" t="s">
        <v>2</v>
      </c>
      <c r="B6" s="126">
        <f>F44</f>
        <v>0.33333333333333331</v>
      </c>
      <c r="C6" s="2"/>
      <c r="D6" s="2"/>
      <c r="E6" s="2"/>
      <c r="F6" s="1"/>
      <c r="G6" s="1"/>
      <c r="H6" s="3"/>
      <c r="I6" s="1"/>
      <c r="J6" s="4"/>
      <c r="K6" s="1"/>
      <c r="L6" s="1"/>
      <c r="M6" s="1"/>
      <c r="N6" s="1"/>
      <c r="O6" s="1"/>
      <c r="P6" s="1"/>
      <c r="Q6" s="1"/>
      <c r="R6" s="1"/>
      <c r="S6" s="1"/>
      <c r="T6" s="1"/>
      <c r="U6" s="1"/>
      <c r="V6" s="1"/>
      <c r="W6" s="1"/>
      <c r="X6" s="1"/>
      <c r="Y6" s="1"/>
      <c r="Z6" s="1"/>
    </row>
    <row r="7" spans="1:26" ht="13.5" customHeight="1">
      <c r="A7" s="1"/>
      <c r="B7" s="1"/>
      <c r="C7" s="1"/>
      <c r="D7" s="1"/>
      <c r="E7" s="1"/>
      <c r="F7" s="1"/>
      <c r="G7" s="1"/>
      <c r="H7" s="3"/>
      <c r="I7" s="1"/>
      <c r="J7" s="1"/>
      <c r="K7" s="1"/>
      <c r="L7" s="1"/>
      <c r="M7" s="1"/>
      <c r="N7" s="1"/>
      <c r="O7" s="1"/>
      <c r="P7" s="1"/>
      <c r="Q7" s="1"/>
      <c r="R7" s="1"/>
      <c r="S7" s="1"/>
      <c r="T7" s="1"/>
      <c r="U7" s="1"/>
      <c r="V7" s="1"/>
      <c r="W7" s="1"/>
      <c r="X7" s="1"/>
      <c r="Y7" s="1"/>
      <c r="Z7" s="1"/>
    </row>
    <row r="8" spans="1:26" ht="13.5" customHeight="1">
      <c r="A8" s="6" t="s">
        <v>3</v>
      </c>
      <c r="B8" s="7" t="s">
        <v>4</v>
      </c>
      <c r="C8" s="7" t="s">
        <v>5</v>
      </c>
      <c r="D8" s="7" t="s">
        <v>6</v>
      </c>
      <c r="E8" s="7" t="s">
        <v>7</v>
      </c>
      <c r="F8" s="7" t="s">
        <v>8</v>
      </c>
      <c r="G8" s="8" t="s">
        <v>9</v>
      </c>
      <c r="H8" s="9" t="s">
        <v>10</v>
      </c>
      <c r="I8" s="9" t="s">
        <v>11</v>
      </c>
      <c r="J8" s="10" t="s">
        <v>12</v>
      </c>
      <c r="K8" s="1"/>
      <c r="L8" s="1"/>
      <c r="M8" s="1"/>
      <c r="N8" s="1"/>
      <c r="O8" s="1"/>
      <c r="P8" s="1"/>
      <c r="Q8" s="1"/>
      <c r="R8" s="1"/>
      <c r="S8" s="1"/>
      <c r="T8" s="1"/>
      <c r="U8" s="1"/>
      <c r="V8" s="1"/>
      <c r="W8" s="1"/>
      <c r="X8" s="1"/>
      <c r="Y8" s="1"/>
      <c r="Z8" s="1"/>
    </row>
    <row r="9" spans="1:26" ht="13.5" customHeight="1">
      <c r="A9" s="21">
        <v>45778</v>
      </c>
      <c r="B9" s="21" t="s">
        <v>20</v>
      </c>
      <c r="C9" s="22" t="s">
        <v>25</v>
      </c>
      <c r="D9" s="22"/>
      <c r="E9" s="22" t="s">
        <v>106</v>
      </c>
      <c r="F9" s="22" t="s">
        <v>28</v>
      </c>
      <c r="G9" s="23" t="s">
        <v>167</v>
      </c>
      <c r="H9" s="24">
        <f t="shared" ref="H9:H39" si="0">J9-I9</f>
        <v>0.33333333333333331</v>
      </c>
      <c r="I9" s="25">
        <v>0.33333333333333331</v>
      </c>
      <c r="J9" s="25">
        <v>0.66666666666666663</v>
      </c>
      <c r="K9" s="1"/>
      <c r="L9" s="1"/>
      <c r="M9" s="1"/>
      <c r="N9" s="1"/>
      <c r="O9" s="1"/>
      <c r="P9" s="1"/>
      <c r="Q9" s="1"/>
      <c r="R9" s="1"/>
      <c r="S9" s="1"/>
      <c r="T9" s="1"/>
      <c r="U9" s="1"/>
      <c r="V9" s="1"/>
      <c r="W9" s="1"/>
      <c r="X9" s="1"/>
      <c r="Y9" s="1"/>
      <c r="Z9" s="1"/>
    </row>
    <row r="10" spans="1:26" ht="13.5" customHeight="1">
      <c r="A10" s="11">
        <v>45779</v>
      </c>
      <c r="B10" s="11" t="s">
        <v>21</v>
      </c>
      <c r="C10" s="12" t="s">
        <v>25</v>
      </c>
      <c r="D10" s="12" t="s">
        <v>15</v>
      </c>
      <c r="E10" s="12" t="s">
        <v>16</v>
      </c>
      <c r="F10" s="12" t="s">
        <v>17</v>
      </c>
      <c r="G10" s="13" t="s">
        <v>168</v>
      </c>
      <c r="H10" s="14">
        <f t="shared" si="0"/>
        <v>0.33333333333333331</v>
      </c>
      <c r="I10" s="15">
        <v>0.33333333333333331</v>
      </c>
      <c r="J10" s="15">
        <v>0.66666666666666663</v>
      </c>
      <c r="K10" s="1"/>
      <c r="L10" s="1"/>
      <c r="M10" s="1"/>
      <c r="N10" s="1"/>
      <c r="O10" s="1"/>
      <c r="P10" s="1"/>
      <c r="Q10" s="1"/>
      <c r="R10" s="1"/>
      <c r="S10" s="1"/>
      <c r="T10" s="1"/>
      <c r="U10" s="1"/>
      <c r="V10" s="1"/>
      <c r="W10" s="1"/>
      <c r="X10" s="1"/>
      <c r="Y10" s="1"/>
      <c r="Z10" s="1"/>
    </row>
    <row r="11" spans="1:26" ht="13.5" customHeight="1">
      <c r="A11" s="16">
        <v>45780</v>
      </c>
      <c r="B11" s="16" t="s">
        <v>22</v>
      </c>
      <c r="C11" s="17"/>
      <c r="D11" s="17"/>
      <c r="E11" s="17"/>
      <c r="F11" s="17"/>
      <c r="G11" s="18"/>
      <c r="H11" s="19">
        <f t="shared" si="0"/>
        <v>0</v>
      </c>
      <c r="I11" s="20"/>
      <c r="J11" s="20"/>
      <c r="K11" s="1"/>
      <c r="L11" s="1"/>
      <c r="M11" s="1"/>
      <c r="N11" s="1"/>
      <c r="O11" s="1"/>
      <c r="P11" s="1"/>
      <c r="Q11" s="1"/>
      <c r="R11" s="1"/>
      <c r="S11" s="1"/>
      <c r="T11" s="1"/>
      <c r="U11" s="1"/>
      <c r="V11" s="1"/>
      <c r="W11" s="1"/>
      <c r="X11" s="1"/>
      <c r="Y11" s="1"/>
      <c r="Z11" s="1"/>
    </row>
    <row r="12" spans="1:26" ht="13.5" customHeight="1">
      <c r="A12" s="16">
        <v>45781</v>
      </c>
      <c r="B12" s="16" t="s">
        <v>23</v>
      </c>
      <c r="C12" s="17"/>
      <c r="D12" s="17"/>
      <c r="E12" s="17"/>
      <c r="F12" s="17"/>
      <c r="G12" s="18"/>
      <c r="H12" s="19">
        <f t="shared" si="0"/>
        <v>0</v>
      </c>
      <c r="I12" s="20"/>
      <c r="J12" s="20"/>
      <c r="K12" s="1"/>
      <c r="L12" s="1"/>
      <c r="M12" s="1"/>
      <c r="N12" s="1"/>
      <c r="O12" s="1"/>
      <c r="P12" s="1"/>
      <c r="Q12" s="1"/>
      <c r="R12" s="1"/>
      <c r="S12" s="1"/>
      <c r="T12" s="1"/>
      <c r="U12" s="1"/>
      <c r="V12" s="1"/>
      <c r="W12" s="1"/>
      <c r="X12" s="1"/>
      <c r="Y12" s="1"/>
      <c r="Z12" s="1"/>
    </row>
    <row r="13" spans="1:26" ht="13.5" customHeight="1">
      <c r="A13" s="11">
        <v>45782</v>
      </c>
      <c r="B13" s="11" t="s">
        <v>24</v>
      </c>
      <c r="C13" s="12"/>
      <c r="D13" s="12"/>
      <c r="E13" s="12"/>
      <c r="F13" s="12"/>
      <c r="G13" s="13"/>
      <c r="H13" s="14">
        <f t="shared" si="0"/>
        <v>0</v>
      </c>
      <c r="I13" s="15"/>
      <c r="J13" s="15"/>
      <c r="K13" s="1"/>
      <c r="L13" s="1"/>
      <c r="M13" s="1"/>
      <c r="N13" s="1"/>
      <c r="O13" s="1"/>
      <c r="P13" s="1"/>
      <c r="Q13" s="1"/>
      <c r="R13" s="1"/>
      <c r="S13" s="1"/>
      <c r="T13" s="1"/>
      <c r="U13" s="1"/>
      <c r="V13" s="1"/>
      <c r="W13" s="1"/>
      <c r="X13" s="1"/>
      <c r="Y13" s="1"/>
      <c r="Z13" s="1"/>
    </row>
    <row r="14" spans="1:26" ht="13.5" customHeight="1">
      <c r="A14" s="11">
        <v>45783</v>
      </c>
      <c r="B14" s="11" t="s">
        <v>13</v>
      </c>
      <c r="C14" s="12"/>
      <c r="D14" s="12"/>
      <c r="E14" s="12"/>
      <c r="F14" s="12"/>
      <c r="G14" s="13"/>
      <c r="H14" s="14">
        <f t="shared" si="0"/>
        <v>0</v>
      </c>
      <c r="I14" s="15"/>
      <c r="J14" s="15"/>
      <c r="K14" s="1"/>
      <c r="L14" s="1"/>
      <c r="M14" s="1"/>
      <c r="N14" s="1"/>
      <c r="O14" s="1"/>
      <c r="P14" s="1"/>
      <c r="Q14" s="1"/>
      <c r="R14" s="1"/>
      <c r="S14" s="1"/>
      <c r="T14" s="1"/>
      <c r="U14" s="1"/>
      <c r="V14" s="1"/>
      <c r="W14" s="1"/>
      <c r="X14" s="1"/>
      <c r="Y14" s="1"/>
      <c r="Z14" s="1"/>
    </row>
    <row r="15" spans="1:26" ht="13.5" customHeight="1">
      <c r="A15" s="11">
        <v>45784</v>
      </c>
      <c r="B15" s="11" t="s">
        <v>19</v>
      </c>
      <c r="C15" s="12"/>
      <c r="D15" s="12"/>
      <c r="E15" s="12"/>
      <c r="F15" s="12"/>
      <c r="G15" s="13"/>
      <c r="H15" s="14">
        <f t="shared" si="0"/>
        <v>0</v>
      </c>
      <c r="I15" s="15"/>
      <c r="J15" s="15"/>
      <c r="K15" s="1"/>
      <c r="L15" s="1"/>
      <c r="M15" s="1"/>
      <c r="N15" s="1"/>
      <c r="O15" s="1"/>
      <c r="P15" s="1"/>
      <c r="Q15" s="1"/>
      <c r="R15" s="1"/>
      <c r="S15" s="1"/>
      <c r="T15" s="1"/>
      <c r="U15" s="1"/>
      <c r="V15" s="1"/>
      <c r="W15" s="1"/>
      <c r="X15" s="1"/>
      <c r="Y15" s="1"/>
      <c r="Z15" s="1"/>
    </row>
    <row r="16" spans="1:26" ht="13.5" customHeight="1">
      <c r="A16" s="11">
        <v>45785</v>
      </c>
      <c r="B16" s="11" t="s">
        <v>20</v>
      </c>
      <c r="C16" s="12"/>
      <c r="D16" s="12"/>
      <c r="E16" s="12"/>
      <c r="F16" s="12"/>
      <c r="G16" s="13"/>
      <c r="H16" s="14">
        <f t="shared" si="0"/>
        <v>0</v>
      </c>
      <c r="I16" s="15"/>
      <c r="J16" s="15"/>
      <c r="K16" s="1"/>
      <c r="L16" s="1"/>
      <c r="M16" s="1"/>
      <c r="N16" s="1"/>
      <c r="O16" s="1"/>
      <c r="P16" s="1"/>
      <c r="Q16" s="1"/>
      <c r="R16" s="1"/>
      <c r="S16" s="1"/>
      <c r="T16" s="1"/>
      <c r="U16" s="1"/>
      <c r="V16" s="1"/>
      <c r="W16" s="1"/>
      <c r="X16" s="1"/>
      <c r="Y16" s="1"/>
      <c r="Z16" s="1"/>
    </row>
    <row r="17" spans="1:26" ht="13.5" customHeight="1">
      <c r="A17" s="11">
        <v>45786</v>
      </c>
      <c r="B17" s="11" t="s">
        <v>21</v>
      </c>
      <c r="C17" s="12"/>
      <c r="D17" s="12"/>
      <c r="E17" s="12"/>
      <c r="F17" s="12"/>
      <c r="G17" s="13"/>
      <c r="H17" s="14">
        <f t="shared" si="0"/>
        <v>0</v>
      </c>
      <c r="I17" s="15"/>
      <c r="J17" s="15"/>
      <c r="K17" s="1"/>
      <c r="L17" s="1"/>
      <c r="M17" s="1"/>
      <c r="N17" s="1"/>
      <c r="O17" s="1"/>
      <c r="P17" s="1"/>
      <c r="Q17" s="1"/>
      <c r="R17" s="1"/>
      <c r="S17" s="1"/>
      <c r="T17" s="1"/>
      <c r="U17" s="1"/>
      <c r="V17" s="1"/>
      <c r="W17" s="1"/>
      <c r="X17" s="1"/>
      <c r="Y17" s="1"/>
      <c r="Z17" s="1"/>
    </row>
    <row r="18" spans="1:26" ht="13.5" customHeight="1">
      <c r="A18" s="16">
        <v>45787</v>
      </c>
      <c r="B18" s="16" t="s">
        <v>22</v>
      </c>
      <c r="C18" s="17"/>
      <c r="D18" s="17"/>
      <c r="E18" s="17"/>
      <c r="F18" s="17"/>
      <c r="G18" s="18"/>
      <c r="H18" s="19">
        <f t="shared" si="0"/>
        <v>0</v>
      </c>
      <c r="I18" s="20"/>
      <c r="J18" s="20"/>
      <c r="K18" s="1"/>
      <c r="L18" s="1"/>
      <c r="M18" s="1"/>
      <c r="N18" s="1"/>
      <c r="O18" s="1"/>
      <c r="P18" s="1"/>
      <c r="Q18" s="1"/>
      <c r="R18" s="1"/>
      <c r="S18" s="1"/>
      <c r="T18" s="1"/>
      <c r="U18" s="1"/>
      <c r="V18" s="1"/>
      <c r="W18" s="1"/>
      <c r="X18" s="1"/>
      <c r="Y18" s="1"/>
      <c r="Z18" s="1"/>
    </row>
    <row r="19" spans="1:26" ht="13.5" customHeight="1">
      <c r="A19" s="16">
        <v>45788</v>
      </c>
      <c r="B19" s="16" t="s">
        <v>23</v>
      </c>
      <c r="C19" s="17"/>
      <c r="D19" s="17"/>
      <c r="E19" s="17"/>
      <c r="F19" s="17"/>
      <c r="G19" s="18"/>
      <c r="H19" s="19">
        <f t="shared" si="0"/>
        <v>0</v>
      </c>
      <c r="I19" s="20"/>
      <c r="J19" s="20"/>
      <c r="K19" s="1"/>
      <c r="L19" s="1"/>
      <c r="M19" s="1"/>
      <c r="N19" s="1"/>
      <c r="O19" s="1"/>
      <c r="P19" s="1"/>
      <c r="Q19" s="1"/>
      <c r="R19" s="1"/>
      <c r="S19" s="1"/>
      <c r="T19" s="1"/>
      <c r="U19" s="1"/>
      <c r="V19" s="1"/>
      <c r="W19" s="1"/>
      <c r="X19" s="1"/>
      <c r="Y19" s="1"/>
      <c r="Z19" s="1"/>
    </row>
    <row r="20" spans="1:26" ht="13.5" customHeight="1">
      <c r="A20" s="11">
        <v>45789</v>
      </c>
      <c r="B20" s="11" t="s">
        <v>24</v>
      </c>
      <c r="C20" s="12"/>
      <c r="D20" s="12"/>
      <c r="E20" s="12"/>
      <c r="F20" s="12"/>
      <c r="G20" s="13"/>
      <c r="H20" s="14">
        <f t="shared" si="0"/>
        <v>0</v>
      </c>
      <c r="I20" s="15"/>
      <c r="J20" s="15"/>
      <c r="K20" s="1"/>
      <c r="L20" s="1"/>
      <c r="M20" s="1"/>
      <c r="N20" s="1"/>
      <c r="O20" s="1"/>
      <c r="P20" s="1"/>
      <c r="Q20" s="1"/>
      <c r="R20" s="1"/>
      <c r="S20" s="1"/>
      <c r="T20" s="1"/>
      <c r="U20" s="1"/>
      <c r="V20" s="1"/>
      <c r="W20" s="1"/>
      <c r="X20" s="1"/>
      <c r="Y20" s="1"/>
      <c r="Z20" s="1"/>
    </row>
    <row r="21" spans="1:26" ht="13.5" customHeight="1">
      <c r="A21" s="11">
        <v>45790</v>
      </c>
      <c r="B21" s="11" t="s">
        <v>13</v>
      </c>
      <c r="C21" s="12"/>
      <c r="D21" s="12"/>
      <c r="E21" s="12"/>
      <c r="F21" s="12"/>
      <c r="G21" s="13"/>
      <c r="H21" s="14">
        <f t="shared" si="0"/>
        <v>0</v>
      </c>
      <c r="I21" s="15"/>
      <c r="J21" s="15"/>
      <c r="K21" s="1"/>
      <c r="L21" s="1"/>
      <c r="M21" s="1"/>
      <c r="N21" s="1"/>
      <c r="O21" s="1"/>
      <c r="P21" s="1"/>
      <c r="Q21" s="1"/>
      <c r="R21" s="1"/>
      <c r="S21" s="1"/>
      <c r="T21" s="1"/>
      <c r="U21" s="1"/>
      <c r="V21" s="1"/>
      <c r="W21" s="1"/>
      <c r="X21" s="1"/>
      <c r="Y21" s="1"/>
      <c r="Z21" s="1"/>
    </row>
    <row r="22" spans="1:26" ht="13.5" customHeight="1">
      <c r="A22" s="11">
        <v>45791</v>
      </c>
      <c r="B22" s="11" t="s">
        <v>19</v>
      </c>
      <c r="C22" s="12"/>
      <c r="D22" s="12"/>
      <c r="E22" s="12"/>
      <c r="F22" s="12"/>
      <c r="G22" s="13"/>
      <c r="H22" s="14">
        <f t="shared" si="0"/>
        <v>0</v>
      </c>
      <c r="I22" s="15"/>
      <c r="J22" s="15"/>
      <c r="K22" s="1"/>
      <c r="L22" s="1"/>
      <c r="M22" s="1"/>
      <c r="N22" s="1"/>
      <c r="O22" s="1"/>
      <c r="P22" s="1"/>
      <c r="Q22" s="1"/>
      <c r="R22" s="1"/>
      <c r="S22" s="1"/>
      <c r="T22" s="1"/>
      <c r="U22" s="1"/>
      <c r="V22" s="1"/>
      <c r="W22" s="1"/>
      <c r="X22" s="1"/>
      <c r="Y22" s="1"/>
      <c r="Z22" s="1"/>
    </row>
    <row r="23" spans="1:26" ht="13.5" customHeight="1">
      <c r="A23" s="11">
        <v>45792</v>
      </c>
      <c r="B23" s="11" t="s">
        <v>20</v>
      </c>
      <c r="C23" s="12"/>
      <c r="D23" s="12"/>
      <c r="E23" s="12"/>
      <c r="F23" s="12"/>
      <c r="G23" s="13"/>
      <c r="H23" s="14">
        <f t="shared" si="0"/>
        <v>0</v>
      </c>
      <c r="I23" s="15"/>
      <c r="J23" s="15"/>
      <c r="K23" s="1"/>
      <c r="L23" s="1"/>
      <c r="M23" s="1"/>
      <c r="N23" s="1"/>
      <c r="O23" s="1"/>
      <c r="P23" s="1"/>
      <c r="Q23" s="1"/>
      <c r="R23" s="1"/>
      <c r="S23" s="1"/>
      <c r="T23" s="1"/>
      <c r="U23" s="1"/>
      <c r="V23" s="1"/>
      <c r="W23" s="1"/>
      <c r="X23" s="1"/>
      <c r="Y23" s="1"/>
      <c r="Z23" s="1"/>
    </row>
    <row r="24" spans="1:26" ht="13.5" customHeight="1">
      <c r="A24" s="11">
        <v>45793</v>
      </c>
      <c r="B24" s="11" t="s">
        <v>21</v>
      </c>
      <c r="C24" s="12"/>
      <c r="D24" s="12"/>
      <c r="E24" s="12"/>
      <c r="F24" s="12"/>
      <c r="G24" s="13"/>
      <c r="H24" s="14">
        <f t="shared" si="0"/>
        <v>0</v>
      </c>
      <c r="I24" s="15"/>
      <c r="J24" s="15"/>
      <c r="K24" s="1"/>
      <c r="L24" s="1"/>
      <c r="M24" s="1"/>
      <c r="N24" s="1"/>
      <c r="O24" s="1"/>
      <c r="P24" s="1"/>
      <c r="Q24" s="1"/>
      <c r="R24" s="1"/>
      <c r="S24" s="1"/>
      <c r="T24" s="1"/>
      <c r="U24" s="1"/>
      <c r="V24" s="1"/>
      <c r="W24" s="1"/>
      <c r="X24" s="1"/>
      <c r="Y24" s="1"/>
      <c r="Z24" s="1"/>
    </row>
    <row r="25" spans="1:26" ht="13.5" customHeight="1">
      <c r="A25" s="16">
        <v>45794</v>
      </c>
      <c r="B25" s="16" t="s">
        <v>22</v>
      </c>
      <c r="C25" s="17"/>
      <c r="D25" s="17"/>
      <c r="E25" s="17"/>
      <c r="F25" s="17"/>
      <c r="G25" s="18"/>
      <c r="H25" s="19">
        <f t="shared" si="0"/>
        <v>0</v>
      </c>
      <c r="I25" s="20"/>
      <c r="J25" s="20"/>
      <c r="K25" s="1"/>
      <c r="L25" s="1"/>
      <c r="M25" s="1"/>
      <c r="N25" s="1"/>
      <c r="O25" s="1"/>
      <c r="P25" s="1"/>
      <c r="Q25" s="1"/>
      <c r="R25" s="1"/>
      <c r="S25" s="1"/>
      <c r="T25" s="1"/>
      <c r="U25" s="1"/>
      <c r="V25" s="1"/>
      <c r="W25" s="1"/>
      <c r="X25" s="1"/>
      <c r="Y25" s="1"/>
      <c r="Z25" s="1"/>
    </row>
    <row r="26" spans="1:26" ht="13.5" customHeight="1">
      <c r="A26" s="16">
        <v>45795</v>
      </c>
      <c r="B26" s="16" t="s">
        <v>23</v>
      </c>
      <c r="C26" s="17"/>
      <c r="D26" s="17"/>
      <c r="E26" s="17"/>
      <c r="F26" s="17"/>
      <c r="G26" s="18"/>
      <c r="H26" s="19">
        <f t="shared" si="0"/>
        <v>0</v>
      </c>
      <c r="I26" s="20"/>
      <c r="J26" s="20"/>
      <c r="K26" s="1"/>
      <c r="L26" s="1"/>
      <c r="M26" s="1"/>
      <c r="N26" s="1"/>
      <c r="O26" s="1"/>
      <c r="P26" s="1"/>
      <c r="Q26" s="1"/>
      <c r="R26" s="1"/>
      <c r="S26" s="1"/>
      <c r="T26" s="1"/>
      <c r="U26" s="1"/>
      <c r="V26" s="1"/>
      <c r="W26" s="1"/>
      <c r="X26" s="1"/>
      <c r="Y26" s="1"/>
      <c r="Z26" s="1"/>
    </row>
    <row r="27" spans="1:26" ht="13.5" customHeight="1">
      <c r="A27" s="11">
        <v>45796</v>
      </c>
      <c r="B27" s="11" t="s">
        <v>24</v>
      </c>
      <c r="C27" s="12"/>
      <c r="D27" s="12"/>
      <c r="E27" s="12"/>
      <c r="F27" s="12"/>
      <c r="G27" s="13"/>
      <c r="H27" s="14">
        <f t="shared" si="0"/>
        <v>0</v>
      </c>
      <c r="I27" s="15"/>
      <c r="J27" s="15"/>
      <c r="K27" s="1"/>
      <c r="L27" s="1"/>
      <c r="M27" s="1"/>
      <c r="N27" s="1"/>
      <c r="O27" s="1"/>
      <c r="P27" s="1"/>
      <c r="Q27" s="1"/>
      <c r="R27" s="1"/>
      <c r="S27" s="1"/>
      <c r="T27" s="1"/>
      <c r="U27" s="1"/>
      <c r="V27" s="1"/>
      <c r="W27" s="1"/>
      <c r="X27" s="1"/>
      <c r="Y27" s="1"/>
      <c r="Z27" s="1"/>
    </row>
    <row r="28" spans="1:26" ht="13.5" customHeight="1">
      <c r="A28" s="11">
        <v>45797</v>
      </c>
      <c r="B28" s="11" t="s">
        <v>13</v>
      </c>
      <c r="C28" s="12"/>
      <c r="D28" s="12"/>
      <c r="E28" s="12"/>
      <c r="F28" s="12"/>
      <c r="G28" s="13"/>
      <c r="H28" s="14">
        <f t="shared" si="0"/>
        <v>0</v>
      </c>
      <c r="I28" s="15"/>
      <c r="J28" s="15"/>
      <c r="K28" s="1"/>
      <c r="L28" s="1"/>
      <c r="M28" s="1"/>
      <c r="N28" s="1"/>
      <c r="O28" s="1"/>
      <c r="P28" s="1"/>
      <c r="Q28" s="1"/>
      <c r="R28" s="1"/>
      <c r="S28" s="1"/>
      <c r="T28" s="1"/>
      <c r="U28" s="1"/>
      <c r="V28" s="1"/>
      <c r="W28" s="1"/>
      <c r="X28" s="1"/>
      <c r="Y28" s="1"/>
      <c r="Z28" s="1"/>
    </row>
    <row r="29" spans="1:26" ht="13.5" customHeight="1">
      <c r="A29" s="11">
        <v>45798</v>
      </c>
      <c r="B29" s="11" t="s">
        <v>19</v>
      </c>
      <c r="C29" s="12"/>
      <c r="D29" s="12"/>
      <c r="E29" s="12"/>
      <c r="F29" s="12"/>
      <c r="G29" s="13"/>
      <c r="H29" s="14">
        <f t="shared" si="0"/>
        <v>0</v>
      </c>
      <c r="I29" s="15"/>
      <c r="J29" s="15"/>
      <c r="K29" s="1"/>
      <c r="L29" s="1"/>
      <c r="M29" s="1"/>
      <c r="N29" s="1"/>
      <c r="O29" s="1"/>
      <c r="P29" s="1"/>
      <c r="Q29" s="1"/>
      <c r="R29" s="1"/>
      <c r="S29" s="1"/>
      <c r="T29" s="1"/>
      <c r="U29" s="1"/>
      <c r="V29" s="1"/>
      <c r="W29" s="1"/>
      <c r="X29" s="1"/>
      <c r="Y29" s="1"/>
      <c r="Z29" s="1"/>
    </row>
    <row r="30" spans="1:26" ht="13.5" customHeight="1">
      <c r="A30" s="11">
        <v>45799</v>
      </c>
      <c r="B30" s="11" t="s">
        <v>20</v>
      </c>
      <c r="C30" s="12"/>
      <c r="D30" s="12"/>
      <c r="E30" s="12"/>
      <c r="F30" s="12"/>
      <c r="G30" s="13"/>
      <c r="H30" s="14">
        <f t="shared" si="0"/>
        <v>0</v>
      </c>
      <c r="I30" s="15"/>
      <c r="J30" s="15"/>
      <c r="K30" s="1"/>
      <c r="L30" s="1"/>
      <c r="M30" s="1"/>
      <c r="N30" s="1"/>
      <c r="O30" s="1"/>
      <c r="P30" s="1"/>
      <c r="Q30" s="1"/>
      <c r="R30" s="1"/>
      <c r="S30" s="1"/>
      <c r="T30" s="1"/>
      <c r="U30" s="1"/>
      <c r="V30" s="1"/>
      <c r="W30" s="1"/>
      <c r="X30" s="1"/>
      <c r="Y30" s="1"/>
      <c r="Z30" s="1"/>
    </row>
    <row r="31" spans="1:26" ht="13.5" customHeight="1">
      <c r="A31" s="11">
        <v>45800</v>
      </c>
      <c r="B31" s="11" t="s">
        <v>21</v>
      </c>
      <c r="C31" s="12"/>
      <c r="D31" s="12"/>
      <c r="E31" s="12"/>
      <c r="F31" s="12"/>
      <c r="G31" s="13"/>
      <c r="H31" s="14">
        <f t="shared" si="0"/>
        <v>0</v>
      </c>
      <c r="I31" s="15"/>
      <c r="J31" s="15"/>
      <c r="K31" s="1"/>
      <c r="L31" s="1"/>
      <c r="M31" s="1"/>
      <c r="N31" s="1"/>
      <c r="O31" s="1"/>
      <c r="P31" s="1"/>
      <c r="Q31" s="1"/>
      <c r="R31" s="1"/>
      <c r="S31" s="1"/>
      <c r="T31" s="1"/>
      <c r="U31" s="1"/>
      <c r="V31" s="1"/>
      <c r="W31" s="1"/>
      <c r="X31" s="1"/>
      <c r="Y31" s="1"/>
      <c r="Z31" s="1"/>
    </row>
    <row r="32" spans="1:26" ht="13.5" customHeight="1">
      <c r="A32" s="16">
        <v>45801</v>
      </c>
      <c r="B32" s="16" t="s">
        <v>22</v>
      </c>
      <c r="C32" s="17"/>
      <c r="D32" s="17"/>
      <c r="E32" s="17"/>
      <c r="F32" s="17"/>
      <c r="G32" s="18"/>
      <c r="H32" s="19">
        <f t="shared" si="0"/>
        <v>0</v>
      </c>
      <c r="I32" s="20"/>
      <c r="J32" s="20"/>
      <c r="K32" s="1"/>
      <c r="L32" s="1"/>
      <c r="M32" s="1"/>
      <c r="N32" s="1"/>
      <c r="O32" s="1"/>
      <c r="P32" s="1"/>
      <c r="Q32" s="1"/>
      <c r="R32" s="1"/>
      <c r="S32" s="1"/>
      <c r="T32" s="1"/>
      <c r="U32" s="1"/>
      <c r="V32" s="1"/>
      <c r="W32" s="1"/>
      <c r="X32" s="1"/>
      <c r="Y32" s="1"/>
      <c r="Z32" s="1"/>
    </row>
    <row r="33" spans="1:26" ht="13.5" customHeight="1">
      <c r="A33" s="16">
        <v>45802</v>
      </c>
      <c r="B33" s="16" t="s">
        <v>23</v>
      </c>
      <c r="C33" s="17"/>
      <c r="D33" s="17"/>
      <c r="E33" s="17"/>
      <c r="F33" s="17"/>
      <c r="G33" s="18"/>
      <c r="H33" s="19">
        <f t="shared" si="0"/>
        <v>0</v>
      </c>
      <c r="I33" s="20"/>
      <c r="J33" s="20"/>
      <c r="K33" s="1"/>
      <c r="L33" s="1"/>
      <c r="M33" s="1"/>
      <c r="N33" s="1"/>
      <c r="O33" s="1"/>
      <c r="P33" s="1"/>
      <c r="Q33" s="1"/>
      <c r="R33" s="1"/>
      <c r="S33" s="1"/>
      <c r="T33" s="1"/>
      <c r="U33" s="1"/>
      <c r="V33" s="1"/>
      <c r="W33" s="1"/>
      <c r="X33" s="1"/>
      <c r="Y33" s="1"/>
      <c r="Z33" s="1"/>
    </row>
    <row r="34" spans="1:26" ht="13.5" customHeight="1">
      <c r="A34" s="11">
        <v>45803</v>
      </c>
      <c r="B34" s="11" t="s">
        <v>24</v>
      </c>
      <c r="C34" s="12"/>
      <c r="D34" s="12"/>
      <c r="E34" s="12"/>
      <c r="F34" s="12"/>
      <c r="G34" s="13"/>
      <c r="H34" s="14">
        <f t="shared" si="0"/>
        <v>0</v>
      </c>
      <c r="I34" s="15"/>
      <c r="J34" s="15"/>
      <c r="K34" s="1"/>
      <c r="L34" s="1"/>
      <c r="M34" s="1"/>
      <c r="N34" s="1"/>
      <c r="O34" s="1"/>
      <c r="P34" s="1"/>
      <c r="Q34" s="1"/>
      <c r="R34" s="1"/>
      <c r="S34" s="1"/>
      <c r="T34" s="1"/>
      <c r="U34" s="1"/>
      <c r="V34" s="1"/>
      <c r="W34" s="1"/>
      <c r="X34" s="1"/>
      <c r="Y34" s="1"/>
      <c r="Z34" s="1"/>
    </row>
    <row r="35" spans="1:26" ht="13.5" customHeight="1">
      <c r="A35" s="11">
        <v>45804</v>
      </c>
      <c r="B35" s="11" t="s">
        <v>13</v>
      </c>
      <c r="C35" s="12"/>
      <c r="D35" s="12"/>
      <c r="E35" s="12"/>
      <c r="F35" s="12"/>
      <c r="G35" s="13"/>
      <c r="H35" s="14">
        <f t="shared" si="0"/>
        <v>0</v>
      </c>
      <c r="I35" s="15"/>
      <c r="J35" s="15"/>
      <c r="K35" s="1"/>
      <c r="L35" s="1"/>
      <c r="M35" s="1"/>
      <c r="N35" s="1"/>
      <c r="O35" s="1"/>
      <c r="P35" s="1"/>
      <c r="Q35" s="1"/>
      <c r="R35" s="1"/>
      <c r="S35" s="1"/>
      <c r="T35" s="1"/>
      <c r="U35" s="1"/>
      <c r="V35" s="1"/>
      <c r="W35" s="1"/>
      <c r="X35" s="1"/>
      <c r="Y35" s="1"/>
      <c r="Z35" s="1"/>
    </row>
    <row r="36" spans="1:26" ht="13.5" customHeight="1">
      <c r="A36" s="11">
        <v>45805</v>
      </c>
      <c r="B36" s="11" t="s">
        <v>19</v>
      </c>
      <c r="C36" s="12"/>
      <c r="D36" s="12"/>
      <c r="E36" s="12"/>
      <c r="F36" s="12"/>
      <c r="G36" s="13"/>
      <c r="H36" s="14">
        <f t="shared" si="0"/>
        <v>0</v>
      </c>
      <c r="I36" s="15"/>
      <c r="J36" s="15"/>
      <c r="K36" s="1"/>
      <c r="L36" s="1"/>
      <c r="M36" s="1"/>
      <c r="N36" s="1"/>
      <c r="O36" s="1"/>
      <c r="P36" s="1"/>
      <c r="Q36" s="1"/>
      <c r="R36" s="1"/>
      <c r="S36" s="1"/>
      <c r="T36" s="1"/>
      <c r="U36" s="1"/>
      <c r="V36" s="1"/>
      <c r="W36" s="1"/>
      <c r="X36" s="1"/>
      <c r="Y36" s="1"/>
      <c r="Z36" s="1"/>
    </row>
    <row r="37" spans="1:26" ht="13.5" customHeight="1">
      <c r="A37" s="11">
        <v>45806</v>
      </c>
      <c r="B37" s="11" t="s">
        <v>20</v>
      </c>
      <c r="C37" s="12"/>
      <c r="D37" s="12"/>
      <c r="E37" s="12"/>
      <c r="F37" s="12"/>
      <c r="G37" s="13"/>
      <c r="H37" s="14">
        <f t="shared" si="0"/>
        <v>0</v>
      </c>
      <c r="I37" s="15"/>
      <c r="J37" s="15"/>
      <c r="K37" s="1"/>
      <c r="L37" s="1"/>
      <c r="M37" s="1"/>
      <c r="N37" s="1"/>
      <c r="O37" s="1"/>
      <c r="P37" s="1"/>
      <c r="Q37" s="1"/>
      <c r="R37" s="1"/>
      <c r="S37" s="1"/>
      <c r="T37" s="1"/>
      <c r="U37" s="1"/>
      <c r="V37" s="1"/>
      <c r="W37" s="1"/>
      <c r="X37" s="1"/>
      <c r="Y37" s="1"/>
      <c r="Z37" s="1"/>
    </row>
    <row r="38" spans="1:26" ht="13.5" customHeight="1">
      <c r="A38" s="11">
        <v>45807</v>
      </c>
      <c r="B38" s="11" t="s">
        <v>21</v>
      </c>
      <c r="C38" s="12"/>
      <c r="D38" s="12"/>
      <c r="E38" s="12"/>
      <c r="F38" s="12"/>
      <c r="G38" s="13"/>
      <c r="H38" s="14">
        <f t="shared" si="0"/>
        <v>0</v>
      </c>
      <c r="I38" s="15"/>
      <c r="J38" s="15"/>
      <c r="K38" s="1"/>
      <c r="L38" s="1"/>
      <c r="M38" s="1"/>
      <c r="N38" s="1"/>
      <c r="O38" s="1"/>
      <c r="P38" s="1"/>
      <c r="Q38" s="1"/>
      <c r="R38" s="1"/>
      <c r="S38" s="1"/>
      <c r="T38" s="1"/>
      <c r="U38" s="1"/>
      <c r="V38" s="1"/>
      <c r="W38" s="1"/>
      <c r="X38" s="1"/>
      <c r="Y38" s="1"/>
      <c r="Z38" s="1"/>
    </row>
    <row r="39" spans="1:26" ht="13.5" customHeight="1">
      <c r="A39" s="16">
        <v>45808</v>
      </c>
      <c r="B39" s="16" t="s">
        <v>22</v>
      </c>
      <c r="C39" s="48"/>
      <c r="D39" s="48"/>
      <c r="E39" s="48"/>
      <c r="F39" s="17"/>
      <c r="G39" s="48"/>
      <c r="H39" s="19">
        <f t="shared" si="0"/>
        <v>0</v>
      </c>
      <c r="I39" s="49"/>
      <c r="J39" s="17"/>
      <c r="K39" s="1"/>
      <c r="L39" s="1"/>
      <c r="M39" s="1"/>
      <c r="N39" s="1"/>
      <c r="O39" s="1"/>
      <c r="P39" s="1"/>
      <c r="Q39" s="1"/>
      <c r="R39" s="1"/>
      <c r="S39" s="1"/>
      <c r="T39" s="1"/>
      <c r="U39" s="1"/>
      <c r="V39" s="1"/>
      <c r="W39" s="1"/>
      <c r="X39" s="1"/>
      <c r="Y39" s="1"/>
      <c r="Z39" s="1"/>
    </row>
    <row r="40" spans="1:26" ht="13.5" customHeight="1">
      <c r="A40" s="5"/>
      <c r="B40" s="50"/>
      <c r="C40" s="50"/>
      <c r="D40" s="50"/>
      <c r="E40" s="50"/>
      <c r="F40" s="50"/>
      <c r="G40" s="50"/>
      <c r="H40" s="51"/>
      <c r="I40" s="2"/>
      <c r="J40" s="1"/>
      <c r="K40" s="1"/>
      <c r="L40" s="1"/>
      <c r="M40" s="1"/>
      <c r="N40" s="1"/>
      <c r="O40" s="1"/>
      <c r="P40" s="1"/>
      <c r="Q40" s="1"/>
      <c r="R40" s="1"/>
      <c r="S40" s="1"/>
      <c r="T40" s="1"/>
      <c r="U40" s="1"/>
      <c r="V40" s="1"/>
      <c r="W40" s="1"/>
      <c r="X40" s="1"/>
      <c r="Y40" s="1"/>
      <c r="Z40" s="1"/>
    </row>
    <row r="41" spans="1:26" ht="13.5" customHeight="1">
      <c r="A41" s="28"/>
      <c r="B41" s="28"/>
      <c r="C41" s="29"/>
      <c r="D41" s="30"/>
      <c r="E41" s="31" t="s">
        <v>159</v>
      </c>
      <c r="F41" s="32">
        <f>F42*8</f>
        <v>168</v>
      </c>
      <c r="G41" s="1"/>
      <c r="H41" s="3"/>
      <c r="I41" s="1"/>
      <c r="J41" s="1"/>
      <c r="K41" s="1"/>
      <c r="L41" s="1"/>
      <c r="M41" s="1"/>
      <c r="N41" s="1"/>
      <c r="O41" s="1"/>
      <c r="P41" s="1"/>
      <c r="Q41" s="1"/>
      <c r="R41" s="1"/>
      <c r="S41" s="1"/>
      <c r="T41" s="1"/>
      <c r="U41" s="1"/>
      <c r="V41" s="1"/>
      <c r="W41" s="1"/>
      <c r="X41" s="1"/>
      <c r="Y41" s="1"/>
      <c r="Z41" s="1"/>
    </row>
    <row r="42" spans="1:26" ht="13.5" customHeight="1">
      <c r="A42" s="28"/>
      <c r="B42" s="28"/>
      <c r="C42" s="33"/>
      <c r="D42" s="34"/>
      <c r="E42" s="35" t="s">
        <v>160</v>
      </c>
      <c r="F42" s="127">
        <v>21</v>
      </c>
      <c r="G42" s="1"/>
      <c r="H42" s="3"/>
      <c r="I42" s="1"/>
      <c r="J42" s="1"/>
      <c r="K42" s="1"/>
      <c r="L42" s="1"/>
      <c r="M42" s="1"/>
      <c r="N42" s="1"/>
      <c r="O42" s="1"/>
      <c r="P42" s="1"/>
      <c r="Q42" s="1"/>
      <c r="R42" s="1"/>
      <c r="S42" s="1"/>
      <c r="T42" s="1"/>
      <c r="U42" s="1"/>
      <c r="V42" s="1"/>
      <c r="W42" s="1"/>
      <c r="X42" s="1"/>
      <c r="Y42" s="1"/>
      <c r="Z42" s="1"/>
    </row>
    <row r="43" spans="1:26" ht="13.5" customHeight="1">
      <c r="A43" s="136" t="s">
        <v>161</v>
      </c>
      <c r="B43" s="137"/>
      <c r="C43" s="137"/>
      <c r="D43" s="36"/>
      <c r="E43" s="34"/>
      <c r="F43" s="34"/>
      <c r="G43" s="1"/>
      <c r="H43" s="3"/>
      <c r="I43" s="1"/>
      <c r="J43" s="1"/>
      <c r="K43" s="1"/>
      <c r="L43" s="1"/>
      <c r="M43" s="1"/>
      <c r="N43" s="1"/>
      <c r="O43" s="1"/>
      <c r="P43" s="1"/>
      <c r="Q43" s="1"/>
      <c r="R43" s="1"/>
      <c r="S43" s="1"/>
      <c r="T43" s="1"/>
      <c r="U43" s="1"/>
      <c r="V43" s="1"/>
      <c r="W43" s="1"/>
      <c r="X43" s="1"/>
      <c r="Y43" s="1"/>
      <c r="Z43" s="1"/>
    </row>
    <row r="44" spans="1:26" ht="13.5" customHeight="1">
      <c r="A44" s="37"/>
      <c r="B44" s="37"/>
      <c r="C44" s="30"/>
      <c r="D44" s="30"/>
      <c r="E44" s="38" t="s">
        <v>162</v>
      </c>
      <c r="F44" s="39">
        <f>SUMIF(F9:F39,"Billable",H9:H39)</f>
        <v>0.33333333333333331</v>
      </c>
      <c r="G44" s="1"/>
      <c r="H44" s="40"/>
      <c r="I44" s="1"/>
      <c r="J44" s="1"/>
      <c r="K44" s="1"/>
      <c r="L44" s="1"/>
      <c r="M44" s="1"/>
      <c r="N44" s="1"/>
      <c r="O44" s="1"/>
      <c r="P44" s="1"/>
      <c r="Q44" s="1"/>
      <c r="R44" s="1"/>
      <c r="S44" s="1"/>
      <c r="T44" s="1"/>
      <c r="U44" s="1"/>
      <c r="V44" s="1"/>
      <c r="W44" s="1"/>
      <c r="X44" s="1"/>
      <c r="Y44" s="1"/>
      <c r="Z44" s="1"/>
    </row>
    <row r="45" spans="1:26" ht="15" customHeight="1">
      <c r="A45" s="138" t="s">
        <v>163</v>
      </c>
      <c r="B45" s="137"/>
      <c r="C45" s="137"/>
      <c r="D45" s="41"/>
      <c r="E45" s="128" t="s">
        <v>164</v>
      </c>
      <c r="F45" s="42">
        <f>SUMIF(F9:F39,"Non-Billable",H9:H39)</f>
        <v>0.33333333333333331</v>
      </c>
      <c r="G45" s="1"/>
      <c r="H45" s="3"/>
      <c r="I45" s="1"/>
      <c r="J45" s="1"/>
      <c r="K45" s="1"/>
      <c r="L45" s="1"/>
      <c r="M45" s="1"/>
      <c r="N45" s="1"/>
      <c r="O45" s="1"/>
      <c r="P45" s="1"/>
      <c r="Q45" s="1"/>
      <c r="R45" s="1"/>
      <c r="S45" s="1"/>
      <c r="T45" s="1"/>
      <c r="U45" s="1"/>
      <c r="V45" s="1"/>
      <c r="W45" s="1"/>
      <c r="X45" s="1"/>
      <c r="Y45" s="1"/>
      <c r="Z45" s="1"/>
    </row>
    <row r="46" spans="1:26" ht="13.5" customHeight="1">
      <c r="A46" s="34"/>
      <c r="B46" s="34"/>
      <c r="C46" s="34"/>
      <c r="D46" s="34"/>
      <c r="E46" s="43" t="s">
        <v>165</v>
      </c>
      <c r="F46" s="44">
        <f>F44+F45</f>
        <v>0.66666666666666663</v>
      </c>
      <c r="G46" s="1"/>
      <c r="H46" s="3"/>
      <c r="I46" s="1"/>
      <c r="J46" s="1"/>
      <c r="K46" s="1"/>
      <c r="L46" s="1"/>
      <c r="M46" s="1"/>
      <c r="N46" s="1"/>
      <c r="O46" s="1"/>
      <c r="P46" s="1"/>
      <c r="Q46" s="1"/>
      <c r="R46" s="1"/>
      <c r="S46" s="1"/>
      <c r="T46" s="1"/>
      <c r="U46" s="1"/>
      <c r="V46" s="1"/>
      <c r="W46" s="1"/>
      <c r="X46" s="1"/>
      <c r="Y46" s="1"/>
      <c r="Z46" s="1"/>
    </row>
    <row r="47" spans="1:26" ht="13.5" customHeight="1">
      <c r="A47" s="34"/>
      <c r="B47" s="34"/>
      <c r="C47" s="34"/>
      <c r="D47" s="34"/>
      <c r="E47" s="34"/>
      <c r="F47" s="34"/>
      <c r="G47" s="1"/>
      <c r="H47" s="3"/>
      <c r="I47" s="1"/>
      <c r="J47" s="1"/>
      <c r="K47" s="1"/>
      <c r="L47" s="1"/>
      <c r="M47" s="1"/>
      <c r="N47" s="1"/>
      <c r="O47" s="1"/>
      <c r="P47" s="1"/>
      <c r="Q47" s="1"/>
      <c r="R47" s="1"/>
      <c r="S47" s="1"/>
      <c r="T47" s="1"/>
      <c r="U47" s="1"/>
      <c r="V47" s="1"/>
      <c r="W47" s="1"/>
      <c r="X47" s="1"/>
      <c r="Y47" s="1"/>
      <c r="Z47" s="1"/>
    </row>
    <row r="48" spans="1:26" ht="13.5" customHeight="1">
      <c r="A48" s="34"/>
      <c r="B48" s="34"/>
      <c r="C48" s="34"/>
      <c r="D48" s="34"/>
      <c r="E48" s="45" t="s">
        <v>166</v>
      </c>
      <c r="F48" s="46"/>
      <c r="G48" s="1"/>
      <c r="H48" s="3"/>
      <c r="I48" s="1"/>
      <c r="J48" s="1"/>
      <c r="K48" s="1"/>
      <c r="L48" s="1"/>
      <c r="M48" s="1"/>
      <c r="N48" s="1"/>
      <c r="O48" s="1"/>
      <c r="P48" s="1"/>
      <c r="Q48" s="1"/>
      <c r="R48" s="1"/>
      <c r="S48" s="1"/>
      <c r="T48" s="1"/>
      <c r="U48" s="1"/>
      <c r="V48" s="1"/>
      <c r="W48" s="1"/>
      <c r="X48" s="1"/>
      <c r="Y48" s="1"/>
      <c r="Z48" s="1"/>
    </row>
    <row r="49" spans="1:26" ht="13.5" customHeight="1">
      <c r="A49" s="1"/>
      <c r="B49" s="1"/>
      <c r="C49" s="1"/>
      <c r="D49" s="1"/>
      <c r="E49" s="47"/>
      <c r="F49" s="1"/>
      <c r="G49" s="1"/>
      <c r="H49" s="3"/>
      <c r="I49" s="1"/>
      <c r="J49" s="1"/>
      <c r="K49" s="1"/>
      <c r="L49" s="1"/>
      <c r="M49" s="1"/>
      <c r="N49" s="1"/>
      <c r="O49" s="1"/>
      <c r="P49" s="1"/>
      <c r="Q49" s="1"/>
      <c r="R49" s="1"/>
      <c r="S49" s="1"/>
      <c r="T49" s="1"/>
      <c r="U49" s="1"/>
      <c r="V49" s="1"/>
      <c r="W49" s="1"/>
      <c r="X49" s="1"/>
      <c r="Y49" s="1"/>
      <c r="Z49" s="1"/>
    </row>
    <row r="50" spans="1:26"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43:C43"/>
    <mergeCell ref="A45:C45"/>
  </mergeCells>
  <conditionalFormatting sqref="A6:B6 D6:E7">
    <cfRule type="containsText" dxfId="79" priority="1" operator="containsText" text="Religious Leave">
      <formula>NOT(ISERROR(SEARCH(("Religious Leave"),(A6))))</formula>
    </cfRule>
    <cfRule type="containsText" dxfId="78" priority="2" operator="containsText" text="Birthday Leave">
      <formula>NOT(ISERROR(SEARCH(("Birthday Leave"),(A6))))</formula>
    </cfRule>
    <cfRule type="containsText" dxfId="77" priority="3" operator="containsText" text="Study Leave">
      <formula>NOT(ISERROR(SEARCH(("Study Leave"),(A6))))</formula>
    </cfRule>
    <cfRule type="containsText" dxfId="76" priority="4" operator="containsText" text="Family Responsibility Leave">
      <formula>NOT(ISERROR(SEARCH(("Family Responsibility Leave"),(A6))))</formula>
    </cfRule>
    <cfRule type="containsText" dxfId="75" priority="5" operator="containsText" text="Sick Leave">
      <formula>NOT(ISERROR(SEARCH(("Sick Leave"),(A6))))</formula>
    </cfRule>
    <cfRule type="containsText" dxfId="74" priority="6" operator="containsText" text="Annual Leave">
      <formula>NOT(ISERROR(SEARCH(("Annual Leave"),(A6))))</formula>
    </cfRule>
    <cfRule type="cellIs" dxfId="73" priority="7" operator="equal">
      <formula>"Public Holiday"</formula>
    </cfRule>
  </conditionalFormatting>
  <conditionalFormatting sqref="B7:B49">
    <cfRule type="containsText" dxfId="72" priority="8" operator="containsText" text="Saturday">
      <formula>NOT(ISERROR(SEARCH(("Saturday"),(B7))))</formula>
    </cfRule>
    <cfRule type="containsText" dxfId="71" priority="9" operator="containsText" text="Sunday">
      <formula>NOT(ISERROR(SEARCH(("Sunday"),(B7))))</formula>
    </cfRule>
  </conditionalFormatting>
  <conditionalFormatting sqref="D39:E41 D43:E45 E48">
    <cfRule type="containsText" dxfId="70" priority="10" operator="containsText" text="Religious Leave">
      <formula>NOT(ISERROR(SEARCH(("Religious Leave"),(D39))))</formula>
    </cfRule>
    <cfRule type="containsText" dxfId="69" priority="11" operator="containsText" text="Birthday Leave">
      <formula>NOT(ISERROR(SEARCH(("Birthday Leave"),(D39))))</formula>
    </cfRule>
    <cfRule type="containsText" dxfId="68" priority="12" operator="containsText" text="Study Leave">
      <formula>NOT(ISERROR(SEARCH(("Study Leave"),(D39))))</formula>
    </cfRule>
    <cfRule type="containsText" dxfId="67" priority="13" operator="containsText" text="Family Responsibility Leave">
      <formula>NOT(ISERROR(SEARCH(("Family Responsibility Leave"),(D39))))</formula>
    </cfRule>
    <cfRule type="containsText" dxfId="66" priority="14" operator="containsText" text="Sick Leave">
      <formula>NOT(ISERROR(SEARCH(("Sick Leave"),(D39))))</formula>
    </cfRule>
    <cfRule type="containsText" dxfId="65" priority="15" operator="containsText" text="Annual Leave">
      <formula>NOT(ISERROR(SEARCH(("Annual Leave"),(D39))))</formula>
    </cfRule>
    <cfRule type="cellIs" dxfId="64" priority="16" operator="equal">
      <formula>"Public Holiday"</formula>
    </cfRule>
  </conditionalFormatting>
  <dataValidations count="1">
    <dataValidation type="custom" allowBlank="1" showInputMessage="1" showErrorMessage="1" prompt="Invalid Time Format - Please input a valid time. For e.g. 08:00" sqref="I9:J38" xr:uid="{00000000-0002-0000-0100-000002000000}">
      <formula1>AND(GTE(I9,MIN((0),(0.999988425925926))),LTE(I9,MAX((0),(0.999988425925926))))</formula1>
    </dataValidation>
  </dataValidations>
  <pageMargins left="0.7" right="0.7" top="0.75" bottom="0.75" header="0" footer="0"/>
  <pageSetup paperSize="9" scale="75" orientation="portrait"/>
  <headerFooter>
    <oddFooter>&amp;L_x000D_#000000 Classified as Confidential</oddFooter>
  </headerFooter>
  <drawing r:id="rId1"/>
  <extLst>
    <ext xmlns:x14="http://schemas.microsoft.com/office/spreadsheetml/2009/9/main" uri="{CCE6A557-97BC-4b89-ADB6-D9C93CAAB3DF}">
      <x14:dataValidations xmlns:xm="http://schemas.microsoft.com/office/excel/2006/main" count="4">
        <x14:dataValidation type="list" allowBlank="1" showErrorMessage="1" xr:uid="{00000000-0002-0000-0100-000000000000}">
          <x14:formula1>
            <xm:f>Key!$K$3:$K$4</xm:f>
          </x14:formula1>
          <xm:sqref>F9:F39</xm:sqref>
        </x14:dataValidation>
        <x14:dataValidation type="list" allowBlank="1" showErrorMessage="1" xr:uid="{00000000-0002-0000-0100-000001000000}">
          <x14:formula1>
            <xm:f>Key!$H$5:$H$79</xm:f>
          </x14:formula1>
          <xm:sqref>B5</xm:sqref>
        </x14:dataValidation>
        <x14:dataValidation type="list" allowBlank="1" showErrorMessage="1" xr:uid="{00000000-0002-0000-0100-000003000000}">
          <x14:formula1>
            <xm:f>Key!$B$2:$B$48</xm:f>
          </x14:formula1>
          <xm:sqref>C9:C38</xm:sqref>
        </x14:dataValidation>
        <x14:dataValidation type="list" allowBlank="1" showErrorMessage="1" xr:uid="{00000000-0002-0000-0100-000004000000}">
          <x14:formula1>
            <xm:f>Key!$F$3:$F$48</xm:f>
          </x14:formula1>
          <xm:sqref>E9:E38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2.59765625" defaultRowHeight="15" customHeight="1"/>
  <cols>
    <col min="1" max="1" width="12" customWidth="1"/>
    <col min="2" max="2" width="13.09765625" customWidth="1"/>
    <col min="3" max="3" width="16.09765625" customWidth="1"/>
    <col min="4" max="5" width="20" customWidth="1"/>
    <col min="6" max="6" width="23.09765625" customWidth="1"/>
    <col min="7" max="7" width="34" customWidth="1"/>
    <col min="8" max="26" width="8.59765625" customWidth="1"/>
  </cols>
  <sheetData>
    <row r="1" spans="1:26" ht="13.5" customHeight="1">
      <c r="A1" s="1"/>
      <c r="B1" s="1"/>
      <c r="C1" s="1"/>
      <c r="D1" s="1"/>
      <c r="E1" s="1"/>
      <c r="F1" s="1"/>
      <c r="G1" s="1"/>
      <c r="H1" s="1"/>
      <c r="I1" s="1"/>
      <c r="J1" s="1"/>
      <c r="K1" s="1"/>
      <c r="L1" s="1"/>
      <c r="M1" s="1"/>
      <c r="N1" s="1"/>
      <c r="O1" s="1"/>
      <c r="P1" s="1"/>
      <c r="Q1" s="1"/>
      <c r="R1" s="1"/>
      <c r="S1" s="1"/>
      <c r="T1" s="1"/>
      <c r="U1" s="1"/>
      <c r="V1" s="1"/>
      <c r="W1" s="1"/>
      <c r="X1" s="1"/>
      <c r="Y1" s="1"/>
      <c r="Z1" s="1"/>
    </row>
    <row r="2" spans="1:26" ht="13.5" customHeight="1">
      <c r="A2" s="1"/>
      <c r="B2" s="1"/>
      <c r="C2" s="1"/>
      <c r="D2" s="1"/>
      <c r="E2" s="1"/>
      <c r="F2" s="1"/>
      <c r="G2" s="1"/>
      <c r="H2" s="1"/>
      <c r="I2" s="1"/>
      <c r="J2" s="1"/>
      <c r="K2" s="1"/>
      <c r="L2" s="1"/>
      <c r="M2" s="1"/>
      <c r="N2" s="1"/>
      <c r="O2" s="1"/>
      <c r="P2" s="1"/>
      <c r="Q2" s="1"/>
      <c r="R2" s="1"/>
      <c r="S2" s="1"/>
      <c r="T2" s="1"/>
      <c r="U2" s="1"/>
      <c r="V2" s="1"/>
      <c r="W2" s="1"/>
      <c r="X2" s="1"/>
      <c r="Y2" s="1"/>
      <c r="Z2" s="1"/>
    </row>
    <row r="3" spans="1:26" ht="13.5" customHeight="1">
      <c r="A3" s="1"/>
      <c r="B3" s="1"/>
      <c r="C3" s="1"/>
      <c r="D3" s="1"/>
      <c r="E3" s="1"/>
      <c r="F3" s="1"/>
      <c r="G3" s="1"/>
      <c r="H3" s="1"/>
      <c r="I3" s="1"/>
      <c r="J3" s="1"/>
      <c r="K3" s="1"/>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 t="s">
        <v>0</v>
      </c>
      <c r="B5" s="1" t="s">
        <v>15</v>
      </c>
      <c r="C5" s="2"/>
      <c r="D5" s="1"/>
      <c r="E5" s="1"/>
      <c r="F5" s="1"/>
      <c r="G5" s="1"/>
      <c r="H5" s="3"/>
      <c r="I5" s="1"/>
      <c r="J5" s="1"/>
      <c r="K5" s="1"/>
      <c r="L5" s="1"/>
      <c r="M5" s="1"/>
      <c r="N5" s="1"/>
      <c r="O5" s="1"/>
      <c r="P5" s="1"/>
      <c r="Q5" s="1"/>
      <c r="R5" s="1"/>
      <c r="S5" s="1"/>
      <c r="T5" s="1"/>
      <c r="U5" s="1"/>
      <c r="V5" s="1"/>
      <c r="W5" s="1"/>
      <c r="X5" s="1"/>
      <c r="Y5" s="1"/>
      <c r="Z5" s="1"/>
    </row>
    <row r="6" spans="1:26" ht="13.5" customHeight="1">
      <c r="A6" s="2" t="s">
        <v>2</v>
      </c>
      <c r="B6" s="126">
        <f>F43</f>
        <v>0.33333333333333331</v>
      </c>
      <c r="C6" s="2"/>
      <c r="D6" s="2"/>
      <c r="E6" s="2"/>
      <c r="F6" s="1"/>
      <c r="G6" s="1"/>
      <c r="H6" s="3"/>
      <c r="I6" s="1"/>
      <c r="J6" s="4"/>
      <c r="K6" s="1"/>
      <c r="L6" s="1"/>
      <c r="M6" s="1"/>
      <c r="N6" s="1"/>
      <c r="O6" s="1"/>
      <c r="P6" s="1"/>
      <c r="Q6" s="1"/>
      <c r="R6" s="1"/>
      <c r="S6" s="1"/>
      <c r="T6" s="1"/>
      <c r="U6" s="1"/>
      <c r="V6" s="1"/>
      <c r="W6" s="1"/>
      <c r="X6" s="1"/>
      <c r="Y6" s="1"/>
      <c r="Z6" s="1"/>
    </row>
    <row r="7" spans="1:26" ht="13.5" customHeight="1">
      <c r="A7" s="1"/>
      <c r="B7" s="1"/>
      <c r="C7" s="1"/>
      <c r="D7" s="1"/>
      <c r="E7" s="1"/>
      <c r="F7" s="1"/>
      <c r="G7" s="1"/>
      <c r="H7" s="3"/>
      <c r="I7" s="1"/>
      <c r="J7" s="1"/>
      <c r="K7" s="1"/>
      <c r="L7" s="1"/>
      <c r="M7" s="1"/>
      <c r="N7" s="1"/>
      <c r="O7" s="1"/>
      <c r="P7" s="1"/>
      <c r="Q7" s="1"/>
      <c r="R7" s="1"/>
      <c r="S7" s="1"/>
      <c r="T7" s="1"/>
      <c r="U7" s="1"/>
      <c r="V7" s="1"/>
      <c r="W7" s="1"/>
      <c r="X7" s="1"/>
      <c r="Y7" s="1"/>
      <c r="Z7" s="1"/>
    </row>
    <row r="8" spans="1:26" ht="13.5" customHeight="1">
      <c r="A8" s="6" t="s">
        <v>3</v>
      </c>
      <c r="B8" s="7" t="s">
        <v>4</v>
      </c>
      <c r="C8" s="7" t="s">
        <v>5</v>
      </c>
      <c r="D8" s="7" t="s">
        <v>6</v>
      </c>
      <c r="E8" s="7" t="s">
        <v>7</v>
      </c>
      <c r="F8" s="7" t="s">
        <v>8</v>
      </c>
      <c r="G8" s="8" t="s">
        <v>9</v>
      </c>
      <c r="H8" s="9" t="s">
        <v>10</v>
      </c>
      <c r="I8" s="9" t="s">
        <v>11</v>
      </c>
      <c r="J8" s="10" t="s">
        <v>12</v>
      </c>
      <c r="K8" s="1"/>
      <c r="L8" s="1"/>
      <c r="M8" s="1"/>
      <c r="N8" s="1"/>
      <c r="O8" s="1"/>
      <c r="P8" s="1"/>
      <c r="Q8" s="1"/>
      <c r="R8" s="1"/>
      <c r="S8" s="1"/>
      <c r="T8" s="1"/>
      <c r="U8" s="1"/>
      <c r="V8" s="1"/>
      <c r="W8" s="1"/>
      <c r="X8" s="1"/>
      <c r="Y8" s="1"/>
      <c r="Z8" s="1"/>
    </row>
    <row r="9" spans="1:26" ht="13.5" customHeight="1">
      <c r="A9" s="16">
        <v>45809</v>
      </c>
      <c r="B9" s="16" t="s">
        <v>23</v>
      </c>
      <c r="C9" s="17"/>
      <c r="D9" s="17"/>
      <c r="E9" s="17"/>
      <c r="F9" s="17"/>
      <c r="G9" s="18"/>
      <c r="H9" s="19">
        <f t="shared" ref="H9:H38" si="0">J9-I9</f>
        <v>0</v>
      </c>
      <c r="I9" s="20"/>
      <c r="J9" s="20"/>
      <c r="K9" s="1"/>
      <c r="L9" s="1"/>
      <c r="M9" s="1"/>
      <c r="N9" s="1"/>
      <c r="O9" s="1"/>
      <c r="P9" s="1"/>
      <c r="Q9" s="1"/>
      <c r="R9" s="1"/>
      <c r="S9" s="1"/>
      <c r="T9" s="1"/>
      <c r="U9" s="1"/>
      <c r="V9" s="1"/>
      <c r="W9" s="1"/>
      <c r="X9" s="1"/>
      <c r="Y9" s="1"/>
      <c r="Z9" s="1"/>
    </row>
    <row r="10" spans="1:26" ht="13.5" customHeight="1">
      <c r="A10" s="11">
        <v>45810</v>
      </c>
      <c r="B10" s="11" t="s">
        <v>24</v>
      </c>
      <c r="C10" s="12" t="s">
        <v>25</v>
      </c>
      <c r="D10" s="12" t="s">
        <v>15</v>
      </c>
      <c r="E10" s="12" t="s">
        <v>16</v>
      </c>
      <c r="F10" s="12" t="s">
        <v>17</v>
      </c>
      <c r="G10" s="13" t="s">
        <v>168</v>
      </c>
      <c r="H10" s="14">
        <f t="shared" si="0"/>
        <v>0.33333333333333331</v>
      </c>
      <c r="I10" s="15">
        <v>0.33333333333333331</v>
      </c>
      <c r="J10" s="15">
        <v>0.66666666666666663</v>
      </c>
      <c r="K10" s="1"/>
      <c r="L10" s="1"/>
      <c r="M10" s="1"/>
      <c r="N10" s="1"/>
      <c r="O10" s="1"/>
      <c r="P10" s="1"/>
      <c r="Q10" s="1"/>
      <c r="R10" s="1"/>
      <c r="S10" s="1"/>
      <c r="T10" s="1"/>
      <c r="U10" s="1"/>
      <c r="V10" s="1"/>
      <c r="W10" s="1"/>
      <c r="X10" s="1"/>
      <c r="Y10" s="1"/>
      <c r="Z10" s="1"/>
    </row>
    <row r="11" spans="1:26" ht="13.5" customHeight="1">
      <c r="A11" s="11">
        <v>45811</v>
      </c>
      <c r="B11" s="11" t="s">
        <v>13</v>
      </c>
      <c r="C11" s="12"/>
      <c r="D11" s="12"/>
      <c r="E11" s="12"/>
      <c r="F11" s="12"/>
      <c r="G11" s="13"/>
      <c r="H11" s="14">
        <f t="shared" si="0"/>
        <v>0</v>
      </c>
      <c r="I11" s="15"/>
      <c r="J11" s="15"/>
      <c r="K11" s="1"/>
      <c r="L11" s="1"/>
      <c r="M11" s="1"/>
      <c r="N11" s="1"/>
      <c r="O11" s="1"/>
      <c r="P11" s="1"/>
      <c r="Q11" s="1"/>
      <c r="R11" s="1"/>
      <c r="S11" s="1"/>
      <c r="T11" s="1"/>
      <c r="U11" s="1"/>
      <c r="V11" s="1"/>
      <c r="W11" s="1"/>
      <c r="X11" s="1"/>
      <c r="Y11" s="1"/>
      <c r="Z11" s="1"/>
    </row>
    <row r="12" spans="1:26" ht="13.5" customHeight="1">
      <c r="A12" s="11">
        <v>45812</v>
      </c>
      <c r="B12" s="11" t="s">
        <v>19</v>
      </c>
      <c r="C12" s="12"/>
      <c r="D12" s="12"/>
      <c r="E12" s="12"/>
      <c r="F12" s="12"/>
      <c r="G12" s="13"/>
      <c r="H12" s="14">
        <f t="shared" si="0"/>
        <v>0</v>
      </c>
      <c r="I12" s="15"/>
      <c r="J12" s="15"/>
      <c r="K12" s="1"/>
      <c r="L12" s="1"/>
      <c r="M12" s="1"/>
      <c r="N12" s="1"/>
      <c r="O12" s="1"/>
      <c r="P12" s="1"/>
      <c r="Q12" s="1"/>
      <c r="R12" s="1"/>
      <c r="S12" s="1"/>
      <c r="T12" s="1"/>
      <c r="U12" s="1"/>
      <c r="V12" s="1"/>
      <c r="W12" s="1"/>
      <c r="X12" s="1"/>
      <c r="Y12" s="1"/>
      <c r="Z12" s="1"/>
    </row>
    <row r="13" spans="1:26" ht="13.5" customHeight="1">
      <c r="A13" s="11">
        <v>45813</v>
      </c>
      <c r="B13" s="11" t="s">
        <v>20</v>
      </c>
      <c r="C13" s="12"/>
      <c r="D13" s="12"/>
      <c r="E13" s="12"/>
      <c r="F13" s="12"/>
      <c r="G13" s="13"/>
      <c r="H13" s="14">
        <f t="shared" si="0"/>
        <v>0</v>
      </c>
      <c r="I13" s="15"/>
      <c r="J13" s="15"/>
      <c r="K13" s="1"/>
      <c r="L13" s="1"/>
      <c r="M13" s="1"/>
      <c r="N13" s="1"/>
      <c r="O13" s="1"/>
      <c r="P13" s="1"/>
      <c r="Q13" s="1"/>
      <c r="R13" s="1"/>
      <c r="S13" s="1"/>
      <c r="T13" s="1"/>
      <c r="U13" s="1"/>
      <c r="V13" s="1"/>
      <c r="W13" s="1"/>
      <c r="X13" s="1"/>
      <c r="Y13" s="1"/>
      <c r="Z13" s="1"/>
    </row>
    <row r="14" spans="1:26" ht="13.5" customHeight="1">
      <c r="A14" s="11">
        <v>45814</v>
      </c>
      <c r="B14" s="11" t="s">
        <v>21</v>
      </c>
      <c r="C14" s="12"/>
      <c r="D14" s="12"/>
      <c r="E14" s="12"/>
      <c r="F14" s="12"/>
      <c r="G14" s="13"/>
      <c r="H14" s="14">
        <f t="shared" si="0"/>
        <v>0</v>
      </c>
      <c r="I14" s="15"/>
      <c r="J14" s="15"/>
      <c r="K14" s="1"/>
      <c r="L14" s="1"/>
      <c r="M14" s="1"/>
      <c r="N14" s="1"/>
      <c r="O14" s="1"/>
      <c r="P14" s="1"/>
      <c r="Q14" s="1"/>
      <c r="R14" s="1"/>
      <c r="S14" s="1"/>
      <c r="T14" s="1"/>
      <c r="U14" s="1"/>
      <c r="V14" s="1"/>
      <c r="W14" s="1"/>
      <c r="X14" s="1"/>
      <c r="Y14" s="1"/>
      <c r="Z14" s="1"/>
    </row>
    <row r="15" spans="1:26" ht="13.5" customHeight="1">
      <c r="A15" s="16">
        <v>45815</v>
      </c>
      <c r="B15" s="16" t="s">
        <v>22</v>
      </c>
      <c r="C15" s="17"/>
      <c r="D15" s="17"/>
      <c r="E15" s="17"/>
      <c r="F15" s="17"/>
      <c r="G15" s="18"/>
      <c r="H15" s="19">
        <f t="shared" si="0"/>
        <v>0</v>
      </c>
      <c r="I15" s="20"/>
      <c r="J15" s="20"/>
      <c r="K15" s="1"/>
      <c r="L15" s="1"/>
      <c r="M15" s="1"/>
      <c r="N15" s="1"/>
      <c r="O15" s="1"/>
      <c r="P15" s="1"/>
      <c r="Q15" s="1"/>
      <c r="R15" s="1"/>
      <c r="S15" s="1"/>
      <c r="T15" s="1"/>
      <c r="U15" s="1"/>
      <c r="V15" s="1"/>
      <c r="W15" s="1"/>
      <c r="X15" s="1"/>
      <c r="Y15" s="1"/>
      <c r="Z15" s="1"/>
    </row>
    <row r="16" spans="1:26" ht="13.5" customHeight="1">
      <c r="A16" s="16">
        <v>45816</v>
      </c>
      <c r="B16" s="16" t="s">
        <v>23</v>
      </c>
      <c r="C16" s="17"/>
      <c r="D16" s="17"/>
      <c r="E16" s="17"/>
      <c r="F16" s="17"/>
      <c r="G16" s="18"/>
      <c r="H16" s="19">
        <f t="shared" si="0"/>
        <v>0</v>
      </c>
      <c r="I16" s="20"/>
      <c r="J16" s="20"/>
      <c r="K16" s="1"/>
      <c r="L16" s="1"/>
      <c r="M16" s="1"/>
      <c r="N16" s="1"/>
      <c r="O16" s="1"/>
      <c r="P16" s="1"/>
      <c r="Q16" s="1"/>
      <c r="R16" s="1"/>
      <c r="S16" s="1"/>
      <c r="T16" s="1"/>
      <c r="U16" s="1"/>
      <c r="V16" s="1"/>
      <c r="W16" s="1"/>
      <c r="X16" s="1"/>
      <c r="Y16" s="1"/>
      <c r="Z16" s="1"/>
    </row>
    <row r="17" spans="1:26" ht="13.5" customHeight="1">
      <c r="A17" s="11">
        <v>45817</v>
      </c>
      <c r="B17" s="11" t="s">
        <v>24</v>
      </c>
      <c r="C17" s="12"/>
      <c r="D17" s="12"/>
      <c r="E17" s="12"/>
      <c r="F17" s="12"/>
      <c r="G17" s="13"/>
      <c r="H17" s="14">
        <f t="shared" si="0"/>
        <v>0</v>
      </c>
      <c r="I17" s="15"/>
      <c r="J17" s="15"/>
      <c r="K17" s="1"/>
      <c r="L17" s="1"/>
      <c r="M17" s="1"/>
      <c r="N17" s="1"/>
      <c r="O17" s="1"/>
      <c r="P17" s="1"/>
      <c r="Q17" s="1"/>
      <c r="R17" s="1"/>
      <c r="S17" s="1"/>
      <c r="T17" s="1"/>
      <c r="U17" s="1"/>
      <c r="V17" s="1"/>
      <c r="W17" s="1"/>
      <c r="X17" s="1"/>
      <c r="Y17" s="1"/>
      <c r="Z17" s="1"/>
    </row>
    <row r="18" spans="1:26" ht="13.5" customHeight="1">
      <c r="A18" s="11">
        <v>45818</v>
      </c>
      <c r="B18" s="11" t="s">
        <v>13</v>
      </c>
      <c r="C18" s="12"/>
      <c r="D18" s="12"/>
      <c r="E18" s="12"/>
      <c r="F18" s="12"/>
      <c r="G18" s="13"/>
      <c r="H18" s="14">
        <f t="shared" si="0"/>
        <v>0</v>
      </c>
      <c r="I18" s="15"/>
      <c r="J18" s="15"/>
      <c r="K18" s="1"/>
      <c r="L18" s="1"/>
      <c r="M18" s="1"/>
      <c r="N18" s="1"/>
      <c r="O18" s="1"/>
      <c r="P18" s="1"/>
      <c r="Q18" s="1"/>
      <c r="R18" s="1"/>
      <c r="S18" s="1"/>
      <c r="T18" s="1"/>
      <c r="U18" s="1"/>
      <c r="V18" s="1"/>
      <c r="W18" s="1"/>
      <c r="X18" s="1"/>
      <c r="Y18" s="1"/>
      <c r="Z18" s="1"/>
    </row>
    <row r="19" spans="1:26" ht="13.5" customHeight="1">
      <c r="A19" s="11">
        <v>45819</v>
      </c>
      <c r="B19" s="11" t="s">
        <v>19</v>
      </c>
      <c r="C19" s="12"/>
      <c r="D19" s="12"/>
      <c r="E19" s="12"/>
      <c r="F19" s="12"/>
      <c r="G19" s="13"/>
      <c r="H19" s="14">
        <f t="shared" si="0"/>
        <v>0</v>
      </c>
      <c r="I19" s="15"/>
      <c r="J19" s="15"/>
      <c r="K19" s="1"/>
      <c r="L19" s="1"/>
      <c r="M19" s="1"/>
      <c r="N19" s="1"/>
      <c r="O19" s="1"/>
      <c r="P19" s="1"/>
      <c r="Q19" s="1"/>
      <c r="R19" s="1"/>
      <c r="S19" s="1"/>
      <c r="T19" s="1"/>
      <c r="U19" s="1"/>
      <c r="V19" s="1"/>
      <c r="W19" s="1"/>
      <c r="X19" s="1"/>
      <c r="Y19" s="1"/>
      <c r="Z19" s="1"/>
    </row>
    <row r="20" spans="1:26" ht="13.5" customHeight="1">
      <c r="A20" s="11">
        <v>45820</v>
      </c>
      <c r="B20" s="11" t="s">
        <v>20</v>
      </c>
      <c r="C20" s="12"/>
      <c r="D20" s="12"/>
      <c r="E20" s="12"/>
      <c r="F20" s="12"/>
      <c r="G20" s="13"/>
      <c r="H20" s="14">
        <f t="shared" si="0"/>
        <v>0</v>
      </c>
      <c r="I20" s="15"/>
      <c r="J20" s="15"/>
      <c r="K20" s="1"/>
      <c r="L20" s="1"/>
      <c r="M20" s="1"/>
      <c r="N20" s="1"/>
      <c r="O20" s="1"/>
      <c r="P20" s="1"/>
      <c r="Q20" s="1"/>
      <c r="R20" s="1"/>
      <c r="S20" s="1"/>
      <c r="T20" s="1"/>
      <c r="U20" s="1"/>
      <c r="V20" s="1"/>
      <c r="W20" s="1"/>
      <c r="X20" s="1"/>
      <c r="Y20" s="1"/>
      <c r="Z20" s="1"/>
    </row>
    <row r="21" spans="1:26" ht="13.5" customHeight="1">
      <c r="A21" s="11">
        <v>45821</v>
      </c>
      <c r="B21" s="11" t="s">
        <v>21</v>
      </c>
      <c r="C21" s="12"/>
      <c r="D21" s="12"/>
      <c r="E21" s="12"/>
      <c r="F21" s="12"/>
      <c r="G21" s="13"/>
      <c r="H21" s="14">
        <f t="shared" si="0"/>
        <v>0</v>
      </c>
      <c r="I21" s="15"/>
      <c r="J21" s="15"/>
      <c r="K21" s="1"/>
      <c r="L21" s="1"/>
      <c r="M21" s="1"/>
      <c r="N21" s="1"/>
      <c r="O21" s="1"/>
      <c r="P21" s="1"/>
      <c r="Q21" s="1"/>
      <c r="R21" s="1"/>
      <c r="S21" s="1"/>
      <c r="T21" s="1"/>
      <c r="U21" s="1"/>
      <c r="V21" s="1"/>
      <c r="W21" s="1"/>
      <c r="X21" s="1"/>
      <c r="Y21" s="1"/>
      <c r="Z21" s="1"/>
    </row>
    <row r="22" spans="1:26" ht="13.5" customHeight="1">
      <c r="A22" s="16">
        <v>45822</v>
      </c>
      <c r="B22" s="16" t="s">
        <v>22</v>
      </c>
      <c r="C22" s="17"/>
      <c r="D22" s="17"/>
      <c r="E22" s="17"/>
      <c r="F22" s="17"/>
      <c r="G22" s="18"/>
      <c r="H22" s="19">
        <f t="shared" si="0"/>
        <v>0</v>
      </c>
      <c r="I22" s="20"/>
      <c r="J22" s="20"/>
      <c r="K22" s="1"/>
      <c r="L22" s="1"/>
      <c r="M22" s="1"/>
      <c r="N22" s="1"/>
      <c r="O22" s="1"/>
      <c r="P22" s="1"/>
      <c r="Q22" s="1"/>
      <c r="R22" s="1"/>
      <c r="S22" s="1"/>
      <c r="T22" s="1"/>
      <c r="U22" s="1"/>
      <c r="V22" s="1"/>
      <c r="W22" s="1"/>
      <c r="X22" s="1"/>
      <c r="Y22" s="1"/>
      <c r="Z22" s="1"/>
    </row>
    <row r="23" spans="1:26" ht="13.5" customHeight="1">
      <c r="A23" s="16">
        <v>45823</v>
      </c>
      <c r="B23" s="16" t="s">
        <v>23</v>
      </c>
      <c r="C23" s="17"/>
      <c r="D23" s="17"/>
      <c r="E23" s="17"/>
      <c r="F23" s="17"/>
      <c r="G23" s="18"/>
      <c r="H23" s="19">
        <f t="shared" si="0"/>
        <v>0</v>
      </c>
      <c r="I23" s="20"/>
      <c r="J23" s="20"/>
      <c r="K23" s="1"/>
      <c r="L23" s="1"/>
      <c r="M23" s="1"/>
      <c r="N23" s="1"/>
      <c r="O23" s="1"/>
      <c r="P23" s="1"/>
      <c r="Q23" s="1"/>
      <c r="R23" s="1"/>
      <c r="S23" s="1"/>
      <c r="T23" s="1"/>
      <c r="U23" s="1"/>
      <c r="V23" s="1"/>
      <c r="W23" s="1"/>
      <c r="X23" s="1"/>
      <c r="Y23" s="1"/>
      <c r="Z23" s="1"/>
    </row>
    <row r="24" spans="1:26" ht="13.5" customHeight="1">
      <c r="A24" s="21">
        <v>45824</v>
      </c>
      <c r="B24" s="21" t="s">
        <v>24</v>
      </c>
      <c r="C24" s="22" t="s">
        <v>25</v>
      </c>
      <c r="D24" s="22"/>
      <c r="E24" s="22" t="s">
        <v>106</v>
      </c>
      <c r="F24" s="22" t="s">
        <v>28</v>
      </c>
      <c r="G24" s="23" t="s">
        <v>169</v>
      </c>
      <c r="H24" s="24">
        <f t="shared" si="0"/>
        <v>0.33333333333333331</v>
      </c>
      <c r="I24" s="25">
        <v>0.33333333333333331</v>
      </c>
      <c r="J24" s="25">
        <v>0.66666666666666663</v>
      </c>
      <c r="K24" s="1"/>
      <c r="L24" s="1"/>
      <c r="M24" s="1"/>
      <c r="N24" s="1"/>
      <c r="O24" s="1"/>
      <c r="P24" s="1"/>
      <c r="Q24" s="1"/>
      <c r="R24" s="1"/>
      <c r="S24" s="1"/>
      <c r="T24" s="1"/>
      <c r="U24" s="1"/>
      <c r="V24" s="1"/>
      <c r="W24" s="1"/>
      <c r="X24" s="1"/>
      <c r="Y24" s="1"/>
      <c r="Z24" s="1"/>
    </row>
    <row r="25" spans="1:26" ht="13.5" customHeight="1">
      <c r="A25" s="11">
        <v>45825</v>
      </c>
      <c r="B25" s="11" t="s">
        <v>13</v>
      </c>
      <c r="C25" s="12"/>
      <c r="D25" s="12"/>
      <c r="E25" s="12"/>
      <c r="F25" s="12"/>
      <c r="G25" s="13"/>
      <c r="H25" s="14">
        <f t="shared" si="0"/>
        <v>0</v>
      </c>
      <c r="I25" s="15"/>
      <c r="J25" s="15"/>
      <c r="K25" s="1"/>
      <c r="L25" s="1"/>
      <c r="M25" s="1"/>
      <c r="N25" s="1"/>
      <c r="O25" s="1"/>
      <c r="P25" s="1"/>
      <c r="Q25" s="1"/>
      <c r="R25" s="1"/>
      <c r="S25" s="1"/>
      <c r="T25" s="1"/>
      <c r="U25" s="1"/>
      <c r="V25" s="1"/>
      <c r="W25" s="1"/>
      <c r="X25" s="1"/>
      <c r="Y25" s="1"/>
      <c r="Z25" s="1"/>
    </row>
    <row r="26" spans="1:26" ht="13.5" customHeight="1">
      <c r="A26" s="11">
        <v>45826</v>
      </c>
      <c r="B26" s="11" t="s">
        <v>19</v>
      </c>
      <c r="C26" s="12"/>
      <c r="D26" s="12"/>
      <c r="E26" s="12"/>
      <c r="F26" s="12"/>
      <c r="G26" s="13"/>
      <c r="H26" s="14">
        <f t="shared" si="0"/>
        <v>0</v>
      </c>
      <c r="I26" s="15"/>
      <c r="J26" s="15"/>
      <c r="K26" s="1"/>
      <c r="L26" s="1"/>
      <c r="M26" s="1"/>
      <c r="N26" s="1"/>
      <c r="O26" s="1"/>
      <c r="P26" s="1"/>
      <c r="Q26" s="1"/>
      <c r="R26" s="1"/>
      <c r="S26" s="1"/>
      <c r="T26" s="1"/>
      <c r="U26" s="1"/>
      <c r="V26" s="1"/>
      <c r="W26" s="1"/>
      <c r="X26" s="1"/>
      <c r="Y26" s="1"/>
      <c r="Z26" s="1"/>
    </row>
    <row r="27" spans="1:26" ht="13.5" customHeight="1">
      <c r="A27" s="11">
        <v>45827</v>
      </c>
      <c r="B27" s="11" t="s">
        <v>20</v>
      </c>
      <c r="C27" s="12"/>
      <c r="D27" s="12"/>
      <c r="E27" s="12"/>
      <c r="F27" s="12"/>
      <c r="G27" s="13"/>
      <c r="H27" s="14">
        <f t="shared" si="0"/>
        <v>0</v>
      </c>
      <c r="I27" s="15"/>
      <c r="J27" s="15"/>
      <c r="K27" s="1"/>
      <c r="L27" s="1"/>
      <c r="M27" s="1"/>
      <c r="N27" s="1"/>
      <c r="O27" s="1"/>
      <c r="P27" s="1"/>
      <c r="Q27" s="1"/>
      <c r="R27" s="1"/>
      <c r="S27" s="1"/>
      <c r="T27" s="1"/>
      <c r="U27" s="1"/>
      <c r="V27" s="1"/>
      <c r="W27" s="1"/>
      <c r="X27" s="1"/>
      <c r="Y27" s="1"/>
      <c r="Z27" s="1"/>
    </row>
    <row r="28" spans="1:26" ht="13.5" customHeight="1">
      <c r="A28" s="11">
        <v>45828</v>
      </c>
      <c r="B28" s="11" t="s">
        <v>21</v>
      </c>
      <c r="C28" s="12"/>
      <c r="D28" s="12"/>
      <c r="E28" s="12"/>
      <c r="F28" s="12"/>
      <c r="G28" s="13"/>
      <c r="H28" s="14">
        <f t="shared" si="0"/>
        <v>0</v>
      </c>
      <c r="I28" s="15"/>
      <c r="J28" s="15"/>
      <c r="K28" s="1"/>
      <c r="L28" s="1"/>
      <c r="M28" s="1"/>
      <c r="N28" s="1"/>
      <c r="O28" s="1"/>
      <c r="P28" s="1"/>
      <c r="Q28" s="1"/>
      <c r="R28" s="1"/>
      <c r="S28" s="1"/>
      <c r="T28" s="1"/>
      <c r="U28" s="1"/>
      <c r="V28" s="1"/>
      <c r="W28" s="1"/>
      <c r="X28" s="1"/>
      <c r="Y28" s="1"/>
      <c r="Z28" s="1"/>
    </row>
    <row r="29" spans="1:26" ht="13.5" customHeight="1">
      <c r="A29" s="16">
        <v>45829</v>
      </c>
      <c r="B29" s="16" t="s">
        <v>22</v>
      </c>
      <c r="C29" s="17"/>
      <c r="D29" s="17"/>
      <c r="E29" s="17"/>
      <c r="F29" s="17"/>
      <c r="G29" s="18"/>
      <c r="H29" s="19">
        <f t="shared" si="0"/>
        <v>0</v>
      </c>
      <c r="I29" s="20"/>
      <c r="J29" s="20"/>
      <c r="K29" s="1"/>
      <c r="L29" s="1"/>
      <c r="M29" s="1"/>
      <c r="N29" s="1"/>
      <c r="O29" s="1"/>
      <c r="P29" s="1"/>
      <c r="Q29" s="1"/>
      <c r="R29" s="1"/>
      <c r="S29" s="1"/>
      <c r="T29" s="1"/>
      <c r="U29" s="1"/>
      <c r="V29" s="1"/>
      <c r="W29" s="1"/>
      <c r="X29" s="1"/>
      <c r="Y29" s="1"/>
      <c r="Z29" s="1"/>
    </row>
    <row r="30" spans="1:26" ht="13.5" customHeight="1">
      <c r="A30" s="16">
        <v>45830</v>
      </c>
      <c r="B30" s="16" t="s">
        <v>23</v>
      </c>
      <c r="C30" s="17"/>
      <c r="D30" s="17"/>
      <c r="E30" s="17"/>
      <c r="F30" s="17"/>
      <c r="G30" s="18"/>
      <c r="H30" s="19">
        <f t="shared" si="0"/>
        <v>0</v>
      </c>
      <c r="I30" s="20"/>
      <c r="J30" s="20"/>
      <c r="K30" s="1"/>
      <c r="L30" s="1"/>
      <c r="M30" s="1"/>
      <c r="N30" s="1"/>
      <c r="O30" s="1"/>
      <c r="P30" s="1"/>
      <c r="Q30" s="1"/>
      <c r="R30" s="1"/>
      <c r="S30" s="1"/>
      <c r="T30" s="1"/>
      <c r="U30" s="1"/>
      <c r="V30" s="1"/>
      <c r="W30" s="1"/>
      <c r="X30" s="1"/>
      <c r="Y30" s="1"/>
      <c r="Z30" s="1"/>
    </row>
    <row r="31" spans="1:26" ht="13.5" customHeight="1">
      <c r="A31" s="11">
        <v>45831</v>
      </c>
      <c r="B31" s="11" t="s">
        <v>24</v>
      </c>
      <c r="C31" s="12"/>
      <c r="D31" s="12"/>
      <c r="E31" s="12"/>
      <c r="F31" s="12"/>
      <c r="G31" s="13"/>
      <c r="H31" s="14">
        <f t="shared" si="0"/>
        <v>0</v>
      </c>
      <c r="I31" s="15"/>
      <c r="J31" s="15"/>
      <c r="K31" s="1"/>
      <c r="L31" s="1"/>
      <c r="M31" s="1"/>
      <c r="N31" s="1"/>
      <c r="O31" s="1"/>
      <c r="P31" s="1"/>
      <c r="Q31" s="1"/>
      <c r="R31" s="1"/>
      <c r="S31" s="1"/>
      <c r="T31" s="1"/>
      <c r="U31" s="1"/>
      <c r="V31" s="1"/>
      <c r="W31" s="1"/>
      <c r="X31" s="1"/>
      <c r="Y31" s="1"/>
      <c r="Z31" s="1"/>
    </row>
    <row r="32" spans="1:26" ht="13.5" customHeight="1">
      <c r="A32" s="11">
        <v>45832</v>
      </c>
      <c r="B32" s="11" t="s">
        <v>13</v>
      </c>
      <c r="C32" s="12"/>
      <c r="D32" s="12"/>
      <c r="E32" s="12"/>
      <c r="F32" s="12"/>
      <c r="G32" s="13"/>
      <c r="H32" s="14">
        <f t="shared" si="0"/>
        <v>0</v>
      </c>
      <c r="I32" s="15"/>
      <c r="J32" s="15"/>
      <c r="K32" s="1"/>
      <c r="L32" s="1"/>
      <c r="M32" s="1"/>
      <c r="N32" s="1"/>
      <c r="O32" s="1"/>
      <c r="P32" s="1"/>
      <c r="Q32" s="1"/>
      <c r="R32" s="1"/>
      <c r="S32" s="1"/>
      <c r="T32" s="1"/>
      <c r="U32" s="1"/>
      <c r="V32" s="1"/>
      <c r="W32" s="1"/>
      <c r="X32" s="1"/>
      <c r="Y32" s="1"/>
      <c r="Z32" s="1"/>
    </row>
    <row r="33" spans="1:26" ht="13.5" customHeight="1">
      <c r="A33" s="11">
        <v>45833</v>
      </c>
      <c r="B33" s="11" t="s">
        <v>19</v>
      </c>
      <c r="C33" s="12"/>
      <c r="D33" s="12"/>
      <c r="E33" s="12"/>
      <c r="F33" s="12"/>
      <c r="G33" s="13"/>
      <c r="H33" s="14">
        <f t="shared" si="0"/>
        <v>0</v>
      </c>
      <c r="I33" s="15"/>
      <c r="J33" s="15"/>
      <c r="K33" s="1"/>
      <c r="L33" s="1"/>
      <c r="M33" s="1"/>
      <c r="N33" s="1"/>
      <c r="O33" s="1"/>
      <c r="P33" s="1"/>
      <c r="Q33" s="1"/>
      <c r="R33" s="1"/>
      <c r="S33" s="1"/>
      <c r="T33" s="1"/>
      <c r="U33" s="1"/>
      <c r="V33" s="1"/>
      <c r="W33" s="1"/>
      <c r="X33" s="1"/>
      <c r="Y33" s="1"/>
      <c r="Z33" s="1"/>
    </row>
    <row r="34" spans="1:26" ht="13.5" customHeight="1">
      <c r="A34" s="11">
        <v>45834</v>
      </c>
      <c r="B34" s="11" t="s">
        <v>20</v>
      </c>
      <c r="C34" s="12"/>
      <c r="D34" s="12"/>
      <c r="E34" s="12"/>
      <c r="F34" s="12"/>
      <c r="G34" s="13"/>
      <c r="H34" s="14">
        <f t="shared" si="0"/>
        <v>0</v>
      </c>
      <c r="I34" s="15"/>
      <c r="J34" s="15"/>
      <c r="K34" s="1"/>
      <c r="L34" s="1"/>
      <c r="M34" s="1"/>
      <c r="N34" s="1"/>
      <c r="O34" s="1"/>
      <c r="P34" s="1"/>
      <c r="Q34" s="1"/>
      <c r="R34" s="1"/>
      <c r="S34" s="1"/>
      <c r="T34" s="1"/>
      <c r="U34" s="1"/>
      <c r="V34" s="1"/>
      <c r="W34" s="1"/>
      <c r="X34" s="1"/>
      <c r="Y34" s="1"/>
      <c r="Z34" s="1"/>
    </row>
    <row r="35" spans="1:26" ht="13.5" customHeight="1">
      <c r="A35" s="11">
        <v>45835</v>
      </c>
      <c r="B35" s="11" t="s">
        <v>21</v>
      </c>
      <c r="C35" s="12"/>
      <c r="D35" s="12"/>
      <c r="E35" s="12"/>
      <c r="F35" s="12"/>
      <c r="G35" s="13"/>
      <c r="H35" s="14">
        <f t="shared" si="0"/>
        <v>0</v>
      </c>
      <c r="I35" s="15"/>
      <c r="J35" s="15"/>
      <c r="K35" s="1"/>
      <c r="L35" s="1"/>
      <c r="M35" s="1"/>
      <c r="N35" s="1"/>
      <c r="O35" s="1"/>
      <c r="P35" s="1"/>
      <c r="Q35" s="1"/>
      <c r="R35" s="1"/>
      <c r="S35" s="1"/>
      <c r="T35" s="1"/>
      <c r="U35" s="1"/>
      <c r="V35" s="1"/>
      <c r="W35" s="1"/>
      <c r="X35" s="1"/>
      <c r="Y35" s="1"/>
      <c r="Z35" s="1"/>
    </row>
    <row r="36" spans="1:26" ht="13.5" customHeight="1">
      <c r="A36" s="16">
        <v>45836</v>
      </c>
      <c r="B36" s="16" t="s">
        <v>22</v>
      </c>
      <c r="C36" s="17"/>
      <c r="D36" s="17"/>
      <c r="E36" s="17"/>
      <c r="F36" s="17"/>
      <c r="G36" s="18"/>
      <c r="H36" s="19">
        <f t="shared" si="0"/>
        <v>0</v>
      </c>
      <c r="I36" s="20"/>
      <c r="J36" s="20"/>
      <c r="K36" s="1"/>
      <c r="L36" s="1"/>
      <c r="M36" s="1"/>
      <c r="N36" s="1"/>
      <c r="O36" s="1"/>
      <c r="P36" s="1"/>
      <c r="Q36" s="1"/>
      <c r="R36" s="1"/>
      <c r="S36" s="1"/>
      <c r="T36" s="1"/>
      <c r="U36" s="1"/>
      <c r="V36" s="1"/>
      <c r="W36" s="1"/>
      <c r="X36" s="1"/>
      <c r="Y36" s="1"/>
      <c r="Z36" s="1"/>
    </row>
    <row r="37" spans="1:26" ht="13.5" customHeight="1">
      <c r="A37" s="16">
        <v>45837</v>
      </c>
      <c r="B37" s="16" t="s">
        <v>23</v>
      </c>
      <c r="C37" s="17"/>
      <c r="D37" s="17"/>
      <c r="E37" s="17"/>
      <c r="F37" s="17"/>
      <c r="G37" s="18"/>
      <c r="H37" s="19">
        <f t="shared" si="0"/>
        <v>0</v>
      </c>
      <c r="I37" s="20"/>
      <c r="J37" s="20"/>
      <c r="K37" s="1"/>
      <c r="L37" s="1"/>
      <c r="M37" s="1"/>
      <c r="N37" s="1"/>
      <c r="O37" s="1"/>
      <c r="P37" s="1"/>
      <c r="Q37" s="1"/>
      <c r="R37" s="1"/>
      <c r="S37" s="1"/>
      <c r="T37" s="1"/>
      <c r="U37" s="1"/>
      <c r="V37" s="1"/>
      <c r="W37" s="1"/>
      <c r="X37" s="1"/>
      <c r="Y37" s="1"/>
      <c r="Z37" s="1"/>
    </row>
    <row r="38" spans="1:26" ht="13.5" customHeight="1">
      <c r="A38" s="11">
        <v>45838</v>
      </c>
      <c r="B38" s="11" t="s">
        <v>24</v>
      </c>
      <c r="C38" s="12"/>
      <c r="D38" s="12"/>
      <c r="E38" s="12"/>
      <c r="F38" s="12"/>
      <c r="G38" s="13"/>
      <c r="H38" s="14">
        <f t="shared" si="0"/>
        <v>0</v>
      </c>
      <c r="I38" s="15"/>
      <c r="J38" s="15"/>
      <c r="K38" s="1"/>
      <c r="L38" s="1"/>
      <c r="M38" s="1"/>
      <c r="N38" s="1"/>
      <c r="O38" s="1"/>
      <c r="P38" s="1"/>
      <c r="Q38" s="1"/>
      <c r="R38" s="1"/>
      <c r="S38" s="1"/>
      <c r="T38" s="1"/>
      <c r="U38" s="1"/>
      <c r="V38" s="1"/>
      <c r="W38" s="1"/>
      <c r="X38" s="1"/>
      <c r="Y38" s="1"/>
      <c r="Z38" s="1"/>
    </row>
    <row r="39" spans="1:26" ht="13.5" customHeight="1">
      <c r="A39" s="50"/>
      <c r="B39" s="50"/>
      <c r="C39" s="50"/>
      <c r="D39" s="50"/>
      <c r="E39" s="52"/>
      <c r="F39" s="52"/>
      <c r="G39" s="50"/>
      <c r="H39" s="51"/>
      <c r="I39" s="2"/>
      <c r="J39" s="1"/>
      <c r="K39" s="1"/>
      <c r="L39" s="1"/>
      <c r="M39" s="1"/>
      <c r="N39" s="1"/>
      <c r="O39" s="1"/>
      <c r="P39" s="1"/>
      <c r="Q39" s="1"/>
      <c r="R39" s="1"/>
      <c r="S39" s="1"/>
      <c r="T39" s="1"/>
      <c r="U39" s="1"/>
      <c r="V39" s="1"/>
      <c r="W39" s="1"/>
      <c r="X39" s="1"/>
      <c r="Y39" s="1"/>
      <c r="Z39" s="1"/>
    </row>
    <row r="40" spans="1:26" ht="13.5" customHeight="1">
      <c r="A40" s="28"/>
      <c r="B40" s="28"/>
      <c r="C40" s="29"/>
      <c r="D40" s="30"/>
      <c r="E40" s="31" t="s">
        <v>159</v>
      </c>
      <c r="F40" s="32">
        <v>160</v>
      </c>
      <c r="G40" s="1"/>
      <c r="H40" s="3"/>
      <c r="I40" s="1"/>
      <c r="J40" s="1"/>
      <c r="K40" s="1"/>
      <c r="L40" s="1"/>
      <c r="M40" s="1"/>
      <c r="N40" s="1"/>
      <c r="O40" s="1"/>
      <c r="P40" s="1"/>
      <c r="Q40" s="1"/>
      <c r="R40" s="1"/>
      <c r="S40" s="1"/>
      <c r="T40" s="1"/>
      <c r="U40" s="1"/>
      <c r="V40" s="1"/>
      <c r="W40" s="1"/>
      <c r="X40" s="1"/>
      <c r="Y40" s="1"/>
      <c r="Z40" s="1"/>
    </row>
    <row r="41" spans="1:26" ht="13.5" customHeight="1">
      <c r="A41" s="28"/>
      <c r="B41" s="28"/>
      <c r="C41" s="33"/>
      <c r="D41" s="34"/>
      <c r="E41" s="35" t="s">
        <v>160</v>
      </c>
      <c r="F41" s="127">
        <v>20</v>
      </c>
      <c r="G41" s="1"/>
      <c r="H41" s="3"/>
      <c r="I41" s="1"/>
      <c r="J41" s="1"/>
      <c r="K41" s="1"/>
      <c r="L41" s="1"/>
      <c r="M41" s="1"/>
      <c r="N41" s="1"/>
      <c r="O41" s="1"/>
      <c r="P41" s="1"/>
      <c r="Q41" s="1"/>
      <c r="R41" s="1"/>
      <c r="S41" s="1"/>
      <c r="T41" s="1"/>
      <c r="U41" s="1"/>
      <c r="V41" s="1"/>
      <c r="W41" s="1"/>
      <c r="X41" s="1"/>
      <c r="Y41" s="1"/>
      <c r="Z41" s="1"/>
    </row>
    <row r="42" spans="1:26" ht="13.5" customHeight="1">
      <c r="A42" s="136" t="s">
        <v>161</v>
      </c>
      <c r="B42" s="137"/>
      <c r="C42" s="137"/>
      <c r="D42" s="36"/>
      <c r="E42" s="34"/>
      <c r="F42" s="34"/>
      <c r="G42" s="1"/>
      <c r="H42" s="3"/>
      <c r="I42" s="1"/>
      <c r="J42" s="1"/>
      <c r="K42" s="1"/>
      <c r="L42" s="1"/>
      <c r="M42" s="1"/>
      <c r="N42" s="1"/>
      <c r="O42" s="1"/>
      <c r="P42" s="1"/>
      <c r="Q42" s="1"/>
      <c r="R42" s="1"/>
      <c r="S42" s="1"/>
      <c r="T42" s="1"/>
      <c r="U42" s="1"/>
      <c r="V42" s="1"/>
      <c r="W42" s="1"/>
      <c r="X42" s="1"/>
      <c r="Y42" s="1"/>
      <c r="Z42" s="1"/>
    </row>
    <row r="43" spans="1:26" ht="13.5" customHeight="1">
      <c r="A43" s="37"/>
      <c r="B43" s="37"/>
      <c r="C43" s="30"/>
      <c r="D43" s="30"/>
      <c r="E43" s="38" t="s">
        <v>162</v>
      </c>
      <c r="F43" s="39">
        <f>SUMIF(F9:F38,"Billable",H9:H38)</f>
        <v>0.33333333333333331</v>
      </c>
      <c r="G43" s="1"/>
      <c r="H43" s="40"/>
      <c r="I43" s="1"/>
      <c r="J43" s="1"/>
      <c r="K43" s="1"/>
      <c r="L43" s="1"/>
      <c r="M43" s="1"/>
      <c r="N43" s="1"/>
      <c r="O43" s="1"/>
      <c r="P43" s="1"/>
      <c r="Q43" s="1"/>
      <c r="R43" s="1"/>
      <c r="S43" s="1"/>
      <c r="T43" s="1"/>
      <c r="U43" s="1"/>
      <c r="V43" s="1"/>
      <c r="W43" s="1"/>
      <c r="X43" s="1"/>
      <c r="Y43" s="1"/>
      <c r="Z43" s="1"/>
    </row>
    <row r="44" spans="1:26" ht="15" customHeight="1">
      <c r="A44" s="138" t="s">
        <v>163</v>
      </c>
      <c r="B44" s="137"/>
      <c r="C44" s="137"/>
      <c r="D44" s="41"/>
      <c r="E44" s="128" t="s">
        <v>164</v>
      </c>
      <c r="F44" s="42">
        <f>SUMIF(F9:F38,"Non-Billable",H9:H38)</f>
        <v>0.33333333333333331</v>
      </c>
      <c r="G44" s="1"/>
      <c r="H44" s="3"/>
      <c r="I44" s="1"/>
      <c r="J44" s="1"/>
      <c r="K44" s="1"/>
      <c r="L44" s="1"/>
      <c r="M44" s="1"/>
      <c r="N44" s="1"/>
      <c r="O44" s="1"/>
      <c r="P44" s="1"/>
      <c r="Q44" s="1"/>
      <c r="R44" s="1"/>
      <c r="S44" s="1"/>
      <c r="T44" s="1"/>
      <c r="U44" s="1"/>
      <c r="V44" s="1"/>
      <c r="W44" s="1"/>
      <c r="X44" s="1"/>
      <c r="Y44" s="1"/>
      <c r="Z44" s="1"/>
    </row>
    <row r="45" spans="1:26" ht="13.5" customHeight="1">
      <c r="A45" s="34"/>
      <c r="B45" s="34"/>
      <c r="C45" s="34"/>
      <c r="D45" s="34"/>
      <c r="E45" s="43" t="s">
        <v>165</v>
      </c>
      <c r="F45" s="44">
        <f>F43+F44</f>
        <v>0.66666666666666663</v>
      </c>
      <c r="G45" s="1"/>
      <c r="H45" s="3"/>
      <c r="I45" s="1"/>
      <c r="J45" s="1"/>
      <c r="K45" s="1"/>
      <c r="L45" s="1"/>
      <c r="M45" s="1"/>
      <c r="N45" s="1"/>
      <c r="O45" s="1"/>
      <c r="P45" s="1"/>
      <c r="Q45" s="1"/>
      <c r="R45" s="1"/>
      <c r="S45" s="1"/>
      <c r="T45" s="1"/>
      <c r="U45" s="1"/>
      <c r="V45" s="1"/>
      <c r="W45" s="1"/>
      <c r="X45" s="1"/>
      <c r="Y45" s="1"/>
      <c r="Z45" s="1"/>
    </row>
    <row r="46" spans="1:26" ht="13.5" customHeight="1">
      <c r="A46" s="34"/>
      <c r="B46" s="34"/>
      <c r="C46" s="34"/>
      <c r="D46" s="34"/>
      <c r="E46" s="34"/>
      <c r="F46" s="34"/>
      <c r="G46" s="1"/>
      <c r="H46" s="3"/>
      <c r="I46" s="1"/>
      <c r="J46" s="1"/>
      <c r="K46" s="1"/>
      <c r="L46" s="1"/>
      <c r="M46" s="1"/>
      <c r="N46" s="1"/>
      <c r="O46" s="1"/>
      <c r="P46" s="1"/>
      <c r="Q46" s="1"/>
      <c r="R46" s="1"/>
      <c r="S46" s="1"/>
      <c r="T46" s="1"/>
      <c r="U46" s="1"/>
      <c r="V46" s="1"/>
      <c r="W46" s="1"/>
      <c r="X46" s="1"/>
      <c r="Y46" s="1"/>
      <c r="Z46" s="1"/>
    </row>
    <row r="47" spans="1:26" ht="13.5" customHeight="1">
      <c r="A47" s="34"/>
      <c r="B47" s="34"/>
      <c r="C47" s="34"/>
      <c r="D47" s="34"/>
      <c r="E47" s="45" t="s">
        <v>166</v>
      </c>
      <c r="F47" s="46"/>
      <c r="G47" s="1"/>
      <c r="H47" s="3"/>
      <c r="I47" s="1"/>
      <c r="J47" s="1"/>
      <c r="K47" s="1"/>
      <c r="L47" s="1"/>
      <c r="M47" s="1"/>
      <c r="N47" s="1"/>
      <c r="O47" s="1"/>
      <c r="P47" s="1"/>
      <c r="Q47" s="1"/>
      <c r="R47" s="1"/>
      <c r="S47" s="1"/>
      <c r="T47" s="1"/>
      <c r="U47" s="1"/>
      <c r="V47" s="1"/>
      <c r="W47" s="1"/>
      <c r="X47" s="1"/>
      <c r="Y47" s="1"/>
      <c r="Z47" s="1"/>
    </row>
    <row r="48" spans="1:26" ht="13.5" customHeight="1">
      <c r="A48" s="1"/>
      <c r="B48" s="1"/>
      <c r="C48" s="1"/>
      <c r="D48" s="1"/>
      <c r="E48" s="47"/>
      <c r="F48" s="1"/>
      <c r="G48" s="1"/>
      <c r="H48" s="3"/>
      <c r="I48" s="1"/>
      <c r="J48" s="1"/>
      <c r="K48" s="1"/>
      <c r="L48" s="1"/>
      <c r="M48" s="1"/>
      <c r="N48" s="1"/>
      <c r="O48" s="1"/>
      <c r="P48" s="1"/>
      <c r="Q48" s="1"/>
      <c r="R48" s="1"/>
      <c r="S48" s="1"/>
      <c r="T48" s="1"/>
      <c r="U48" s="1"/>
      <c r="V48" s="1"/>
      <c r="W48" s="1"/>
      <c r="X48" s="1"/>
      <c r="Y48" s="1"/>
      <c r="Z48" s="1"/>
    </row>
    <row r="49" spans="1:26"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42:C42"/>
    <mergeCell ref="A44:C44"/>
  </mergeCells>
  <conditionalFormatting sqref="A6:B6 D6:E7">
    <cfRule type="containsText" dxfId="63" priority="1" operator="containsText" text="Religious Leave">
      <formula>NOT(ISERROR(SEARCH(("Religious Leave"),(A6))))</formula>
    </cfRule>
    <cfRule type="containsText" dxfId="62" priority="2" operator="containsText" text="Birthday Leave">
      <formula>NOT(ISERROR(SEARCH(("Birthday Leave"),(A6))))</formula>
    </cfRule>
    <cfRule type="containsText" dxfId="61" priority="3" operator="containsText" text="Study Leave">
      <formula>NOT(ISERROR(SEARCH(("Study Leave"),(A6))))</formula>
    </cfRule>
    <cfRule type="containsText" dxfId="60" priority="4" operator="containsText" text="Family Responsibility Leave">
      <formula>NOT(ISERROR(SEARCH(("Family Responsibility Leave"),(A6))))</formula>
    </cfRule>
    <cfRule type="containsText" dxfId="59" priority="5" operator="containsText" text="Sick Leave">
      <formula>NOT(ISERROR(SEARCH(("Sick Leave"),(A6))))</formula>
    </cfRule>
    <cfRule type="containsText" dxfId="58" priority="6" operator="containsText" text="Annual Leave">
      <formula>NOT(ISERROR(SEARCH(("Annual Leave"),(A6))))</formula>
    </cfRule>
    <cfRule type="cellIs" dxfId="57" priority="7" operator="equal">
      <formula>"Public Holiday"</formula>
    </cfRule>
  </conditionalFormatting>
  <conditionalFormatting sqref="B7:B48">
    <cfRule type="containsText" dxfId="56" priority="8" operator="containsText" text="Saturday">
      <formula>NOT(ISERROR(SEARCH(("Saturday"),(B7))))</formula>
    </cfRule>
    <cfRule type="containsText" dxfId="55" priority="9" operator="containsText" text="Sunday">
      <formula>NOT(ISERROR(SEARCH(("Sunday"),(B7))))</formula>
    </cfRule>
  </conditionalFormatting>
  <conditionalFormatting sqref="D39:E40 D42:E44 E47">
    <cfRule type="containsText" dxfId="54" priority="10" operator="containsText" text="Religious Leave">
      <formula>NOT(ISERROR(SEARCH(("Religious Leave"),(D39))))</formula>
    </cfRule>
    <cfRule type="containsText" dxfId="53" priority="11" operator="containsText" text="Birthday Leave">
      <formula>NOT(ISERROR(SEARCH(("Birthday Leave"),(D39))))</formula>
    </cfRule>
    <cfRule type="containsText" dxfId="52" priority="12" operator="containsText" text="Study Leave">
      <formula>NOT(ISERROR(SEARCH(("Study Leave"),(D39))))</formula>
    </cfRule>
    <cfRule type="containsText" dxfId="51" priority="13" operator="containsText" text="Family Responsibility Leave">
      <formula>NOT(ISERROR(SEARCH(("Family Responsibility Leave"),(D39))))</formula>
    </cfRule>
    <cfRule type="containsText" dxfId="50" priority="14" operator="containsText" text="Sick Leave">
      <formula>NOT(ISERROR(SEARCH(("Sick Leave"),(D39))))</formula>
    </cfRule>
    <cfRule type="containsText" dxfId="49" priority="15" operator="containsText" text="Annual Leave">
      <formula>NOT(ISERROR(SEARCH(("Annual Leave"),(D39))))</formula>
    </cfRule>
    <cfRule type="cellIs" dxfId="48" priority="16" operator="equal">
      <formula>"Public Holiday"</formula>
    </cfRule>
  </conditionalFormatting>
  <dataValidations count="1">
    <dataValidation type="custom" allowBlank="1" showInputMessage="1" showErrorMessage="1" prompt="Invalid Time Format - Please input a valid time. For e.g. 08:00" sqref="I9:J38" xr:uid="{00000000-0002-0000-0200-000002000000}">
      <formula1>AND(GTE(I9,MIN((0),(0.999988425925926))),LTE(I9,MAX((0),(0.999988425925926))))</formula1>
    </dataValidation>
  </dataValidations>
  <pageMargins left="0.7" right="0.7" top="0.75" bottom="0.75" header="0" footer="0"/>
  <pageSetup paperSize="9" scale="75" orientation="portrait"/>
  <headerFooter>
    <oddFooter>&amp;L_x000D_#000000 Classified as Confidential</oddFooter>
  </headerFooter>
  <drawing r:id="rId1"/>
  <extLst>
    <ext xmlns:x14="http://schemas.microsoft.com/office/spreadsheetml/2009/9/main" uri="{CCE6A557-97BC-4b89-ADB6-D9C93CAAB3DF}">
      <x14:dataValidations xmlns:xm="http://schemas.microsoft.com/office/excel/2006/main" count="4">
        <x14:dataValidation type="list" allowBlank="1" showErrorMessage="1" xr:uid="{00000000-0002-0000-0200-000000000000}">
          <x14:formula1>
            <xm:f>Key!$K$3:$K$4</xm:f>
          </x14:formula1>
          <xm:sqref>F9:F38</xm:sqref>
        </x14:dataValidation>
        <x14:dataValidation type="list" allowBlank="1" showErrorMessage="1" xr:uid="{00000000-0002-0000-0200-000001000000}">
          <x14:formula1>
            <xm:f>Key!$H$3:$H$79</xm:f>
          </x14:formula1>
          <xm:sqref>B5</xm:sqref>
        </x14:dataValidation>
        <x14:dataValidation type="list" allowBlank="1" showErrorMessage="1" xr:uid="{00000000-0002-0000-0200-000003000000}">
          <x14:formula1>
            <xm:f>Key!$F$3:$F$46</xm:f>
          </x14:formula1>
          <xm:sqref>E9:E38</xm:sqref>
        </x14:dataValidation>
        <x14:dataValidation type="list" allowBlank="1" showErrorMessage="1" xr:uid="{00000000-0002-0000-0200-000004000000}">
          <x14:formula1>
            <xm:f>Key!$B$2:$B$50</xm:f>
          </x14:formula1>
          <xm:sqref>C9:C38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59765625" defaultRowHeight="15" customHeight="1"/>
  <cols>
    <col min="1" max="1" width="12" customWidth="1"/>
    <col min="2" max="2" width="13.09765625" customWidth="1"/>
    <col min="3" max="3" width="16.09765625" customWidth="1"/>
    <col min="4" max="5" width="20" customWidth="1"/>
    <col min="6" max="6" width="23.09765625" customWidth="1"/>
    <col min="7" max="7" width="34" customWidth="1"/>
    <col min="8" max="26" width="8.59765625" customWidth="1"/>
  </cols>
  <sheetData>
    <row r="1" spans="1:26" ht="13.5" customHeight="1">
      <c r="A1" s="1"/>
      <c r="B1" s="1"/>
      <c r="C1" s="1"/>
      <c r="D1" s="1"/>
      <c r="E1" s="1"/>
      <c r="F1" s="1"/>
      <c r="G1" s="1"/>
      <c r="H1" s="1"/>
      <c r="I1" s="1"/>
      <c r="J1" s="1"/>
      <c r="K1" s="1"/>
      <c r="L1" s="1"/>
      <c r="M1" s="1"/>
      <c r="N1" s="1"/>
      <c r="O1" s="1"/>
      <c r="P1" s="1"/>
      <c r="Q1" s="1"/>
      <c r="R1" s="1"/>
      <c r="S1" s="1"/>
      <c r="T1" s="1"/>
      <c r="U1" s="1"/>
      <c r="V1" s="1"/>
      <c r="W1" s="1"/>
      <c r="X1" s="1"/>
      <c r="Y1" s="1"/>
      <c r="Z1" s="1"/>
    </row>
    <row r="2" spans="1:26" ht="13.5" customHeight="1">
      <c r="A2" s="1"/>
      <c r="B2" s="1"/>
      <c r="C2" s="1"/>
      <c r="D2" s="1"/>
      <c r="E2" s="1"/>
      <c r="F2" s="1"/>
      <c r="G2" s="1"/>
      <c r="H2" s="1"/>
      <c r="I2" s="1"/>
      <c r="J2" s="1"/>
      <c r="K2" s="1"/>
      <c r="L2" s="1"/>
      <c r="M2" s="1"/>
      <c r="N2" s="1"/>
      <c r="O2" s="1"/>
      <c r="P2" s="1"/>
      <c r="Q2" s="1"/>
      <c r="R2" s="1"/>
      <c r="S2" s="1"/>
      <c r="T2" s="1"/>
      <c r="U2" s="1"/>
      <c r="V2" s="1"/>
      <c r="W2" s="1"/>
      <c r="X2" s="1"/>
      <c r="Y2" s="1"/>
      <c r="Z2" s="1"/>
    </row>
    <row r="3" spans="1:26" ht="13.5" customHeight="1">
      <c r="A3" s="1"/>
      <c r="B3" s="1"/>
      <c r="C3" s="1"/>
      <c r="D3" s="1"/>
      <c r="E3" s="1"/>
      <c r="F3" s="1"/>
      <c r="G3" s="1"/>
      <c r="H3" s="1"/>
      <c r="I3" s="1"/>
      <c r="J3" s="1"/>
      <c r="K3" s="1"/>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 t="s">
        <v>0</v>
      </c>
      <c r="B5" s="1" t="s">
        <v>15</v>
      </c>
      <c r="C5" s="2"/>
      <c r="D5" s="1"/>
      <c r="E5" s="1"/>
      <c r="F5" s="1"/>
      <c r="G5" s="1"/>
      <c r="H5" s="3"/>
      <c r="I5" s="1"/>
      <c r="J5" s="1"/>
      <c r="K5" s="1"/>
      <c r="L5" s="1"/>
      <c r="M5" s="1"/>
      <c r="N5" s="1"/>
      <c r="O5" s="1"/>
      <c r="P5" s="1"/>
      <c r="Q5" s="1"/>
      <c r="R5" s="1"/>
      <c r="S5" s="1"/>
      <c r="T5" s="1"/>
      <c r="U5" s="1"/>
      <c r="V5" s="1"/>
      <c r="W5" s="1"/>
      <c r="X5" s="1"/>
      <c r="Y5" s="1"/>
      <c r="Z5" s="1"/>
    </row>
    <row r="6" spans="1:26" ht="13.5" customHeight="1">
      <c r="A6" s="2" t="s">
        <v>2</v>
      </c>
      <c r="B6" s="126">
        <f>F44</f>
        <v>0.33333333333333331</v>
      </c>
      <c r="C6" s="2"/>
      <c r="D6" s="2"/>
      <c r="E6" s="2"/>
      <c r="F6" s="1"/>
      <c r="G6" s="1"/>
      <c r="H6" s="3"/>
      <c r="I6" s="1"/>
      <c r="J6" s="4"/>
      <c r="K6" s="1"/>
      <c r="L6" s="1"/>
      <c r="M6" s="1"/>
      <c r="N6" s="1"/>
      <c r="O6" s="1"/>
      <c r="P6" s="1"/>
      <c r="Q6" s="1"/>
      <c r="R6" s="1"/>
      <c r="S6" s="1"/>
      <c r="T6" s="1"/>
      <c r="U6" s="1"/>
      <c r="V6" s="1"/>
      <c r="W6" s="1"/>
      <c r="X6" s="1"/>
      <c r="Y6" s="1"/>
      <c r="Z6" s="1"/>
    </row>
    <row r="7" spans="1:26" ht="13.5" customHeight="1">
      <c r="A7" s="1"/>
      <c r="B7" s="1"/>
      <c r="C7" s="1"/>
      <c r="D7" s="1"/>
      <c r="E7" s="1"/>
      <c r="F7" s="1"/>
      <c r="G7" s="1"/>
      <c r="H7" s="3"/>
      <c r="I7" s="1"/>
      <c r="J7" s="1"/>
      <c r="K7" s="1"/>
      <c r="L7" s="1"/>
      <c r="M7" s="1"/>
      <c r="N7" s="1"/>
      <c r="O7" s="1"/>
      <c r="P7" s="1"/>
      <c r="Q7" s="1"/>
      <c r="R7" s="1"/>
      <c r="S7" s="1"/>
      <c r="T7" s="1"/>
      <c r="U7" s="1"/>
      <c r="V7" s="1"/>
      <c r="W7" s="1"/>
      <c r="X7" s="1"/>
      <c r="Y7" s="1"/>
      <c r="Z7" s="1"/>
    </row>
    <row r="8" spans="1:26" ht="13.5" customHeight="1">
      <c r="A8" s="6" t="s">
        <v>3</v>
      </c>
      <c r="B8" s="7" t="s">
        <v>4</v>
      </c>
      <c r="C8" s="7" t="s">
        <v>5</v>
      </c>
      <c r="D8" s="7" t="s">
        <v>6</v>
      </c>
      <c r="E8" s="7" t="s">
        <v>7</v>
      </c>
      <c r="F8" s="7" t="s">
        <v>8</v>
      </c>
      <c r="G8" s="8" t="s">
        <v>9</v>
      </c>
      <c r="H8" s="9" t="s">
        <v>10</v>
      </c>
      <c r="I8" s="9" t="s">
        <v>11</v>
      </c>
      <c r="J8" s="10" t="s">
        <v>12</v>
      </c>
      <c r="K8" s="1"/>
      <c r="L8" s="1"/>
      <c r="M8" s="1"/>
      <c r="N8" s="1"/>
      <c r="O8" s="1"/>
      <c r="P8" s="1"/>
      <c r="Q8" s="1"/>
      <c r="R8" s="1"/>
      <c r="S8" s="1"/>
      <c r="T8" s="1"/>
      <c r="U8" s="1"/>
      <c r="V8" s="1"/>
      <c r="W8" s="1"/>
      <c r="X8" s="1"/>
      <c r="Y8" s="1"/>
      <c r="Z8" s="1"/>
    </row>
    <row r="9" spans="1:26" ht="13.5" customHeight="1">
      <c r="A9" s="11">
        <v>45839</v>
      </c>
      <c r="B9" s="11" t="s">
        <v>13</v>
      </c>
      <c r="C9" s="12" t="s">
        <v>25</v>
      </c>
      <c r="D9" s="12" t="s">
        <v>15</v>
      </c>
      <c r="E9" s="12" t="s">
        <v>16</v>
      </c>
      <c r="F9" s="12" t="s">
        <v>17</v>
      </c>
      <c r="G9" s="13" t="s">
        <v>168</v>
      </c>
      <c r="H9" s="14">
        <f t="shared" ref="H9:H39" si="0">J9-I9</f>
        <v>0.33333333333333331</v>
      </c>
      <c r="I9" s="15">
        <v>0.33333333333333331</v>
      </c>
      <c r="J9" s="15">
        <v>0.66666666666666663</v>
      </c>
      <c r="K9" s="1"/>
      <c r="L9" s="1"/>
      <c r="M9" s="1"/>
      <c r="N9" s="1"/>
      <c r="O9" s="1"/>
      <c r="P9" s="1"/>
      <c r="Q9" s="1"/>
      <c r="R9" s="1"/>
      <c r="S9" s="1"/>
      <c r="T9" s="1"/>
      <c r="U9" s="1"/>
      <c r="V9" s="1"/>
      <c r="W9" s="1"/>
      <c r="X9" s="1"/>
      <c r="Y9" s="1"/>
      <c r="Z9" s="1"/>
    </row>
    <row r="10" spans="1:26" ht="13.5" customHeight="1">
      <c r="A10" s="11">
        <v>45840</v>
      </c>
      <c r="B10" s="11" t="s">
        <v>19</v>
      </c>
      <c r="C10" s="12"/>
      <c r="D10" s="12"/>
      <c r="E10" s="12"/>
      <c r="F10" s="12"/>
      <c r="G10" s="13"/>
      <c r="H10" s="14">
        <f t="shared" si="0"/>
        <v>0</v>
      </c>
      <c r="I10" s="15"/>
      <c r="J10" s="15"/>
      <c r="K10" s="1"/>
      <c r="L10" s="1"/>
      <c r="M10" s="1"/>
      <c r="N10" s="1"/>
      <c r="O10" s="1"/>
      <c r="P10" s="1"/>
      <c r="Q10" s="1"/>
      <c r="R10" s="1"/>
      <c r="S10" s="1"/>
      <c r="T10" s="1"/>
      <c r="U10" s="1"/>
      <c r="V10" s="1"/>
      <c r="W10" s="1"/>
      <c r="X10" s="1"/>
      <c r="Y10" s="1"/>
      <c r="Z10" s="1"/>
    </row>
    <row r="11" spans="1:26" ht="13.5" customHeight="1">
      <c r="A11" s="11">
        <v>45841</v>
      </c>
      <c r="B11" s="11" t="s">
        <v>20</v>
      </c>
      <c r="C11" s="12"/>
      <c r="D11" s="12"/>
      <c r="E11" s="12"/>
      <c r="F11" s="12"/>
      <c r="G11" s="13"/>
      <c r="H11" s="14">
        <f t="shared" si="0"/>
        <v>0</v>
      </c>
      <c r="I11" s="15"/>
      <c r="J11" s="15"/>
      <c r="K11" s="1"/>
      <c r="L11" s="1"/>
      <c r="M11" s="1"/>
      <c r="N11" s="1"/>
      <c r="O11" s="1"/>
      <c r="P11" s="1"/>
      <c r="Q11" s="1"/>
      <c r="R11" s="1"/>
      <c r="S11" s="1"/>
      <c r="T11" s="1"/>
      <c r="U11" s="1"/>
      <c r="V11" s="1"/>
      <c r="W11" s="1"/>
      <c r="X11" s="1"/>
      <c r="Y11" s="1"/>
      <c r="Z11" s="1"/>
    </row>
    <row r="12" spans="1:26" ht="13.5" customHeight="1">
      <c r="A12" s="11">
        <v>45842</v>
      </c>
      <c r="B12" s="11" t="s">
        <v>21</v>
      </c>
      <c r="C12" s="12"/>
      <c r="D12" s="12"/>
      <c r="E12" s="12"/>
      <c r="F12" s="12"/>
      <c r="G12" s="13"/>
      <c r="H12" s="14">
        <f t="shared" si="0"/>
        <v>0</v>
      </c>
      <c r="I12" s="15"/>
      <c r="J12" s="15"/>
      <c r="K12" s="1"/>
      <c r="L12" s="1"/>
      <c r="M12" s="1"/>
      <c r="N12" s="1"/>
      <c r="O12" s="1"/>
      <c r="P12" s="1"/>
      <c r="Q12" s="1"/>
      <c r="R12" s="1"/>
      <c r="S12" s="1"/>
      <c r="T12" s="1"/>
      <c r="U12" s="1"/>
      <c r="V12" s="1"/>
      <c r="W12" s="1"/>
      <c r="X12" s="1"/>
      <c r="Y12" s="1"/>
      <c r="Z12" s="1"/>
    </row>
    <row r="13" spans="1:26" ht="13.5" customHeight="1">
      <c r="A13" s="16">
        <v>45843</v>
      </c>
      <c r="B13" s="16" t="s">
        <v>22</v>
      </c>
      <c r="C13" s="17"/>
      <c r="D13" s="17"/>
      <c r="E13" s="17"/>
      <c r="F13" s="17"/>
      <c r="G13" s="18"/>
      <c r="H13" s="19">
        <f t="shared" si="0"/>
        <v>0</v>
      </c>
      <c r="I13" s="20"/>
      <c r="J13" s="20"/>
      <c r="K13" s="1"/>
      <c r="L13" s="1"/>
      <c r="M13" s="1"/>
      <c r="N13" s="1"/>
      <c r="O13" s="1"/>
      <c r="P13" s="1"/>
      <c r="Q13" s="1"/>
      <c r="R13" s="1"/>
      <c r="S13" s="1"/>
      <c r="T13" s="1"/>
      <c r="U13" s="1"/>
      <c r="V13" s="1"/>
      <c r="W13" s="1"/>
      <c r="X13" s="1"/>
      <c r="Y13" s="1"/>
      <c r="Z13" s="1"/>
    </row>
    <row r="14" spans="1:26" ht="13.5" customHeight="1">
      <c r="A14" s="16">
        <v>45844</v>
      </c>
      <c r="B14" s="16" t="s">
        <v>23</v>
      </c>
      <c r="C14" s="17"/>
      <c r="D14" s="17"/>
      <c r="E14" s="17"/>
      <c r="F14" s="17"/>
      <c r="G14" s="18"/>
      <c r="H14" s="19">
        <f t="shared" si="0"/>
        <v>0</v>
      </c>
      <c r="I14" s="20"/>
      <c r="J14" s="20"/>
      <c r="K14" s="1"/>
      <c r="L14" s="1"/>
      <c r="M14" s="1"/>
      <c r="N14" s="1"/>
      <c r="O14" s="1"/>
      <c r="P14" s="1"/>
      <c r="Q14" s="1"/>
      <c r="R14" s="1"/>
      <c r="S14" s="1"/>
      <c r="T14" s="1"/>
      <c r="U14" s="1"/>
      <c r="V14" s="1"/>
      <c r="W14" s="1"/>
      <c r="X14" s="1"/>
      <c r="Y14" s="1"/>
      <c r="Z14" s="1"/>
    </row>
    <row r="15" spans="1:26" ht="13.5" customHeight="1">
      <c r="A15" s="11">
        <v>45845</v>
      </c>
      <c r="B15" s="11" t="s">
        <v>24</v>
      </c>
      <c r="C15" s="12"/>
      <c r="D15" s="12"/>
      <c r="E15" s="12"/>
      <c r="F15" s="12"/>
      <c r="G15" s="13"/>
      <c r="H15" s="14">
        <f t="shared" si="0"/>
        <v>0</v>
      </c>
      <c r="I15" s="15"/>
      <c r="J15" s="15"/>
      <c r="K15" s="1"/>
      <c r="L15" s="1"/>
      <c r="M15" s="1"/>
      <c r="N15" s="1"/>
      <c r="O15" s="1"/>
      <c r="P15" s="1"/>
      <c r="Q15" s="1"/>
      <c r="R15" s="1"/>
      <c r="S15" s="1"/>
      <c r="T15" s="1"/>
      <c r="U15" s="1"/>
      <c r="V15" s="1"/>
      <c r="W15" s="1"/>
      <c r="X15" s="1"/>
      <c r="Y15" s="1"/>
      <c r="Z15" s="1"/>
    </row>
    <row r="16" spans="1:26" ht="13.5" customHeight="1">
      <c r="A16" s="11">
        <v>45846</v>
      </c>
      <c r="B16" s="11" t="s">
        <v>13</v>
      </c>
      <c r="C16" s="12"/>
      <c r="D16" s="12"/>
      <c r="E16" s="12"/>
      <c r="F16" s="12"/>
      <c r="G16" s="13"/>
      <c r="H16" s="14">
        <f t="shared" si="0"/>
        <v>0</v>
      </c>
      <c r="I16" s="15"/>
      <c r="J16" s="15"/>
      <c r="K16" s="1"/>
      <c r="L16" s="1"/>
      <c r="M16" s="1"/>
      <c r="N16" s="1"/>
      <c r="O16" s="1"/>
      <c r="P16" s="1"/>
      <c r="Q16" s="1"/>
      <c r="R16" s="1"/>
      <c r="S16" s="1"/>
      <c r="T16" s="1"/>
      <c r="U16" s="1"/>
      <c r="V16" s="1"/>
      <c r="W16" s="1"/>
      <c r="X16" s="1"/>
      <c r="Y16" s="1"/>
      <c r="Z16" s="1"/>
    </row>
    <row r="17" spans="1:26" ht="13.5" customHeight="1">
      <c r="A17" s="11">
        <v>45847</v>
      </c>
      <c r="B17" s="11" t="s">
        <v>19</v>
      </c>
      <c r="C17" s="12"/>
      <c r="D17" s="12"/>
      <c r="E17" s="12"/>
      <c r="F17" s="12"/>
      <c r="G17" s="13"/>
      <c r="H17" s="14">
        <f t="shared" si="0"/>
        <v>0</v>
      </c>
      <c r="I17" s="15"/>
      <c r="J17" s="15"/>
      <c r="K17" s="1"/>
      <c r="L17" s="1"/>
      <c r="M17" s="1"/>
      <c r="N17" s="1"/>
      <c r="O17" s="1"/>
      <c r="P17" s="1"/>
      <c r="Q17" s="1"/>
      <c r="R17" s="1"/>
      <c r="S17" s="1"/>
      <c r="T17" s="1"/>
      <c r="U17" s="1"/>
      <c r="V17" s="1"/>
      <c r="W17" s="1"/>
      <c r="X17" s="1"/>
      <c r="Y17" s="1"/>
      <c r="Z17" s="1"/>
    </row>
    <row r="18" spans="1:26" ht="13.5" customHeight="1">
      <c r="A18" s="11">
        <v>45848</v>
      </c>
      <c r="B18" s="11" t="s">
        <v>20</v>
      </c>
      <c r="C18" s="12"/>
      <c r="D18" s="12"/>
      <c r="E18" s="12"/>
      <c r="F18" s="12"/>
      <c r="G18" s="13"/>
      <c r="H18" s="14">
        <f t="shared" si="0"/>
        <v>0</v>
      </c>
      <c r="I18" s="15"/>
      <c r="J18" s="15"/>
      <c r="K18" s="1"/>
      <c r="L18" s="1"/>
      <c r="M18" s="1"/>
      <c r="N18" s="1"/>
      <c r="O18" s="1"/>
      <c r="P18" s="1"/>
      <c r="Q18" s="1"/>
      <c r="R18" s="1"/>
      <c r="S18" s="1"/>
      <c r="T18" s="1"/>
      <c r="U18" s="1"/>
      <c r="V18" s="1"/>
      <c r="W18" s="1"/>
      <c r="X18" s="1"/>
      <c r="Y18" s="1"/>
      <c r="Z18" s="1"/>
    </row>
    <row r="19" spans="1:26" ht="13.5" customHeight="1">
      <c r="A19" s="11">
        <v>45849</v>
      </c>
      <c r="B19" s="11" t="s">
        <v>21</v>
      </c>
      <c r="C19" s="12"/>
      <c r="D19" s="12"/>
      <c r="E19" s="12"/>
      <c r="F19" s="12"/>
      <c r="G19" s="13"/>
      <c r="H19" s="14">
        <f t="shared" si="0"/>
        <v>0</v>
      </c>
      <c r="I19" s="15"/>
      <c r="J19" s="15"/>
      <c r="K19" s="1"/>
      <c r="L19" s="1"/>
      <c r="M19" s="1"/>
      <c r="N19" s="1"/>
      <c r="O19" s="1"/>
      <c r="P19" s="1"/>
      <c r="Q19" s="1"/>
      <c r="R19" s="1"/>
      <c r="S19" s="1"/>
      <c r="T19" s="1"/>
      <c r="U19" s="1"/>
      <c r="V19" s="1"/>
      <c r="W19" s="1"/>
      <c r="X19" s="1"/>
      <c r="Y19" s="1"/>
      <c r="Z19" s="1"/>
    </row>
    <row r="20" spans="1:26" ht="13.5" customHeight="1">
      <c r="A20" s="16">
        <v>45850</v>
      </c>
      <c r="B20" s="16" t="s">
        <v>22</v>
      </c>
      <c r="C20" s="17"/>
      <c r="D20" s="17"/>
      <c r="E20" s="17"/>
      <c r="F20" s="17"/>
      <c r="G20" s="18"/>
      <c r="H20" s="19">
        <f t="shared" si="0"/>
        <v>0</v>
      </c>
      <c r="I20" s="20"/>
      <c r="J20" s="20"/>
      <c r="K20" s="1"/>
      <c r="L20" s="1"/>
      <c r="M20" s="1"/>
      <c r="N20" s="1"/>
      <c r="O20" s="1"/>
      <c r="P20" s="1"/>
      <c r="Q20" s="1"/>
      <c r="R20" s="1"/>
      <c r="S20" s="1"/>
      <c r="T20" s="1"/>
      <c r="U20" s="1"/>
      <c r="V20" s="1"/>
      <c r="W20" s="1"/>
      <c r="X20" s="1"/>
      <c r="Y20" s="1"/>
      <c r="Z20" s="1"/>
    </row>
    <row r="21" spans="1:26" ht="13.5" customHeight="1">
      <c r="A21" s="16">
        <v>45851</v>
      </c>
      <c r="B21" s="16" t="s">
        <v>23</v>
      </c>
      <c r="C21" s="17"/>
      <c r="D21" s="17"/>
      <c r="E21" s="17"/>
      <c r="F21" s="17"/>
      <c r="G21" s="18"/>
      <c r="H21" s="19">
        <f t="shared" si="0"/>
        <v>0</v>
      </c>
      <c r="I21" s="20"/>
      <c r="J21" s="20"/>
      <c r="K21" s="1"/>
      <c r="L21" s="1"/>
      <c r="M21" s="1"/>
      <c r="N21" s="1"/>
      <c r="O21" s="1"/>
      <c r="P21" s="1"/>
      <c r="Q21" s="1"/>
      <c r="R21" s="1"/>
      <c r="S21" s="1"/>
      <c r="T21" s="1"/>
      <c r="U21" s="1"/>
      <c r="V21" s="1"/>
      <c r="W21" s="1"/>
      <c r="X21" s="1"/>
      <c r="Y21" s="1"/>
      <c r="Z21" s="1"/>
    </row>
    <row r="22" spans="1:26" ht="13.5" customHeight="1">
      <c r="A22" s="11">
        <v>45852</v>
      </c>
      <c r="B22" s="11" t="s">
        <v>24</v>
      </c>
      <c r="C22" s="12"/>
      <c r="D22" s="12"/>
      <c r="E22" s="12"/>
      <c r="F22" s="12"/>
      <c r="G22" s="13"/>
      <c r="H22" s="14">
        <f t="shared" si="0"/>
        <v>0</v>
      </c>
      <c r="I22" s="15"/>
      <c r="J22" s="15"/>
      <c r="K22" s="1"/>
      <c r="L22" s="1"/>
      <c r="M22" s="1"/>
      <c r="N22" s="1"/>
      <c r="O22" s="1"/>
      <c r="P22" s="1"/>
      <c r="Q22" s="1"/>
      <c r="R22" s="1"/>
      <c r="S22" s="1"/>
      <c r="T22" s="1"/>
      <c r="U22" s="1"/>
      <c r="V22" s="1"/>
      <c r="W22" s="1"/>
      <c r="X22" s="1"/>
      <c r="Y22" s="1"/>
      <c r="Z22" s="1"/>
    </row>
    <row r="23" spans="1:26" ht="13.5" customHeight="1">
      <c r="A23" s="11">
        <v>45853</v>
      </c>
      <c r="B23" s="11" t="s">
        <v>13</v>
      </c>
      <c r="C23" s="12"/>
      <c r="D23" s="12"/>
      <c r="E23" s="12"/>
      <c r="F23" s="12"/>
      <c r="G23" s="13"/>
      <c r="H23" s="14">
        <f t="shared" si="0"/>
        <v>0</v>
      </c>
      <c r="I23" s="15"/>
      <c r="J23" s="15"/>
      <c r="K23" s="1"/>
      <c r="L23" s="1"/>
      <c r="M23" s="1"/>
      <c r="N23" s="1"/>
      <c r="O23" s="1"/>
      <c r="P23" s="1"/>
      <c r="Q23" s="1"/>
      <c r="R23" s="1"/>
      <c r="S23" s="1"/>
      <c r="T23" s="1"/>
      <c r="U23" s="1"/>
      <c r="V23" s="1"/>
      <c r="W23" s="1"/>
      <c r="X23" s="1"/>
      <c r="Y23" s="1"/>
      <c r="Z23" s="1"/>
    </row>
    <row r="24" spans="1:26" ht="13.5" customHeight="1">
      <c r="A24" s="11">
        <v>45854</v>
      </c>
      <c r="B24" s="11" t="s">
        <v>19</v>
      </c>
      <c r="C24" s="12"/>
      <c r="D24" s="12"/>
      <c r="E24" s="12"/>
      <c r="F24" s="12"/>
      <c r="G24" s="13"/>
      <c r="H24" s="14">
        <f t="shared" si="0"/>
        <v>0</v>
      </c>
      <c r="I24" s="15"/>
      <c r="J24" s="15"/>
      <c r="K24" s="1"/>
      <c r="L24" s="1"/>
      <c r="M24" s="1"/>
      <c r="N24" s="1"/>
      <c r="O24" s="1"/>
      <c r="P24" s="1"/>
      <c r="Q24" s="1"/>
      <c r="R24" s="1"/>
      <c r="S24" s="1"/>
      <c r="T24" s="1"/>
      <c r="U24" s="1"/>
      <c r="V24" s="1"/>
      <c r="W24" s="1"/>
      <c r="X24" s="1"/>
      <c r="Y24" s="1"/>
      <c r="Z24" s="1"/>
    </row>
    <row r="25" spans="1:26" ht="13.5" customHeight="1">
      <c r="A25" s="11">
        <v>45855</v>
      </c>
      <c r="B25" s="11" t="s">
        <v>20</v>
      </c>
      <c r="C25" s="12"/>
      <c r="D25" s="12"/>
      <c r="E25" s="12"/>
      <c r="F25" s="12"/>
      <c r="G25" s="13"/>
      <c r="H25" s="14">
        <f t="shared" si="0"/>
        <v>0</v>
      </c>
      <c r="I25" s="15"/>
      <c r="J25" s="15"/>
      <c r="K25" s="1"/>
      <c r="L25" s="1"/>
      <c r="M25" s="1"/>
      <c r="N25" s="1"/>
      <c r="O25" s="1"/>
      <c r="P25" s="1"/>
      <c r="Q25" s="1"/>
      <c r="R25" s="1"/>
      <c r="S25" s="1"/>
      <c r="T25" s="1"/>
      <c r="U25" s="1"/>
      <c r="V25" s="1"/>
      <c r="W25" s="1"/>
      <c r="X25" s="1"/>
      <c r="Y25" s="1"/>
      <c r="Z25" s="1"/>
    </row>
    <row r="26" spans="1:26" ht="13.5" customHeight="1">
      <c r="A26" s="11">
        <v>45856</v>
      </c>
      <c r="B26" s="11" t="s">
        <v>21</v>
      </c>
      <c r="C26" s="12"/>
      <c r="D26" s="12"/>
      <c r="E26" s="12"/>
      <c r="F26" s="12"/>
      <c r="G26" s="13"/>
      <c r="H26" s="14">
        <f t="shared" si="0"/>
        <v>0</v>
      </c>
      <c r="I26" s="15"/>
      <c r="J26" s="15"/>
      <c r="K26" s="1"/>
      <c r="L26" s="1"/>
      <c r="M26" s="1"/>
      <c r="N26" s="1"/>
      <c r="O26" s="1"/>
      <c r="P26" s="1"/>
      <c r="Q26" s="1"/>
      <c r="R26" s="1"/>
      <c r="S26" s="1"/>
      <c r="T26" s="1"/>
      <c r="U26" s="1"/>
      <c r="V26" s="1"/>
      <c r="W26" s="1"/>
      <c r="X26" s="1"/>
      <c r="Y26" s="1"/>
      <c r="Z26" s="1"/>
    </row>
    <row r="27" spans="1:26" ht="13.5" customHeight="1">
      <c r="A27" s="16">
        <v>45857</v>
      </c>
      <c r="B27" s="16" t="s">
        <v>22</v>
      </c>
      <c r="C27" s="17"/>
      <c r="D27" s="17"/>
      <c r="E27" s="17"/>
      <c r="F27" s="17"/>
      <c r="G27" s="18"/>
      <c r="H27" s="19">
        <f t="shared" si="0"/>
        <v>0</v>
      </c>
      <c r="I27" s="20"/>
      <c r="J27" s="20"/>
      <c r="K27" s="1"/>
      <c r="L27" s="1"/>
      <c r="M27" s="1"/>
      <c r="N27" s="1"/>
      <c r="O27" s="1"/>
      <c r="P27" s="1"/>
      <c r="Q27" s="1"/>
      <c r="R27" s="1"/>
      <c r="S27" s="1"/>
      <c r="T27" s="1"/>
      <c r="U27" s="1"/>
      <c r="V27" s="1"/>
      <c r="W27" s="1"/>
      <c r="X27" s="1"/>
      <c r="Y27" s="1"/>
      <c r="Z27" s="1"/>
    </row>
    <row r="28" spans="1:26" ht="13.5" customHeight="1">
      <c r="A28" s="16">
        <v>45858</v>
      </c>
      <c r="B28" s="16" t="s">
        <v>23</v>
      </c>
      <c r="C28" s="17"/>
      <c r="D28" s="17"/>
      <c r="E28" s="17"/>
      <c r="F28" s="17"/>
      <c r="G28" s="18"/>
      <c r="H28" s="19">
        <f t="shared" si="0"/>
        <v>0</v>
      </c>
      <c r="I28" s="20"/>
      <c r="J28" s="20"/>
      <c r="K28" s="1"/>
      <c r="L28" s="1"/>
      <c r="M28" s="1"/>
      <c r="N28" s="1"/>
      <c r="O28" s="1"/>
      <c r="P28" s="1"/>
      <c r="Q28" s="1"/>
      <c r="R28" s="1"/>
      <c r="S28" s="1"/>
      <c r="T28" s="1"/>
      <c r="U28" s="1"/>
      <c r="V28" s="1"/>
      <c r="W28" s="1"/>
      <c r="X28" s="1"/>
      <c r="Y28" s="1"/>
      <c r="Z28" s="1"/>
    </row>
    <row r="29" spans="1:26" ht="13.5" customHeight="1">
      <c r="A29" s="11">
        <v>45859</v>
      </c>
      <c r="B29" s="11" t="s">
        <v>24</v>
      </c>
      <c r="C29" s="12"/>
      <c r="D29" s="12"/>
      <c r="E29" s="12"/>
      <c r="F29" s="12"/>
      <c r="G29" s="13"/>
      <c r="H29" s="14">
        <f t="shared" si="0"/>
        <v>0</v>
      </c>
      <c r="I29" s="15"/>
      <c r="J29" s="15"/>
      <c r="K29" s="1"/>
      <c r="L29" s="1"/>
      <c r="M29" s="1"/>
      <c r="N29" s="1"/>
      <c r="O29" s="1"/>
      <c r="P29" s="1"/>
      <c r="Q29" s="1"/>
      <c r="R29" s="1"/>
      <c r="S29" s="1"/>
      <c r="T29" s="1"/>
      <c r="U29" s="1"/>
      <c r="V29" s="1"/>
      <c r="W29" s="1"/>
      <c r="X29" s="1"/>
      <c r="Y29" s="1"/>
      <c r="Z29" s="1"/>
    </row>
    <row r="30" spans="1:26" ht="13.5" customHeight="1">
      <c r="A30" s="11">
        <v>45860</v>
      </c>
      <c r="B30" s="11" t="s">
        <v>13</v>
      </c>
      <c r="C30" s="12"/>
      <c r="D30" s="12"/>
      <c r="E30" s="12"/>
      <c r="F30" s="12"/>
      <c r="G30" s="13"/>
      <c r="H30" s="14">
        <f t="shared" si="0"/>
        <v>0</v>
      </c>
      <c r="I30" s="15"/>
      <c r="J30" s="15"/>
      <c r="K30" s="1"/>
      <c r="L30" s="1"/>
      <c r="M30" s="1"/>
      <c r="N30" s="1"/>
      <c r="O30" s="1"/>
      <c r="P30" s="1"/>
      <c r="Q30" s="1"/>
      <c r="R30" s="1"/>
      <c r="S30" s="1"/>
      <c r="T30" s="1"/>
      <c r="U30" s="1"/>
      <c r="V30" s="1"/>
      <c r="W30" s="1"/>
      <c r="X30" s="1"/>
      <c r="Y30" s="1"/>
      <c r="Z30" s="1"/>
    </row>
    <row r="31" spans="1:26" ht="13.5" customHeight="1">
      <c r="A31" s="11">
        <v>45861</v>
      </c>
      <c r="B31" s="11" t="s">
        <v>19</v>
      </c>
      <c r="C31" s="12"/>
      <c r="D31" s="12"/>
      <c r="E31" s="12"/>
      <c r="F31" s="12"/>
      <c r="G31" s="13"/>
      <c r="H31" s="14">
        <f t="shared" si="0"/>
        <v>0</v>
      </c>
      <c r="I31" s="15"/>
      <c r="J31" s="15"/>
      <c r="K31" s="1"/>
      <c r="L31" s="1"/>
      <c r="M31" s="1"/>
      <c r="N31" s="1"/>
      <c r="O31" s="1"/>
      <c r="P31" s="1"/>
      <c r="Q31" s="1"/>
      <c r="R31" s="1"/>
      <c r="S31" s="1"/>
      <c r="T31" s="1"/>
      <c r="U31" s="1"/>
      <c r="V31" s="1"/>
      <c r="W31" s="1"/>
      <c r="X31" s="1"/>
      <c r="Y31" s="1"/>
      <c r="Z31" s="1"/>
    </row>
    <row r="32" spans="1:26" ht="13.5" customHeight="1">
      <c r="A32" s="11">
        <v>45862</v>
      </c>
      <c r="B32" s="11" t="s">
        <v>20</v>
      </c>
      <c r="C32" s="12"/>
      <c r="D32" s="12"/>
      <c r="E32" s="12"/>
      <c r="F32" s="12"/>
      <c r="G32" s="13"/>
      <c r="H32" s="14">
        <f t="shared" si="0"/>
        <v>0</v>
      </c>
      <c r="I32" s="15"/>
      <c r="J32" s="15"/>
      <c r="K32" s="1"/>
      <c r="L32" s="1"/>
      <c r="M32" s="1"/>
      <c r="N32" s="1"/>
      <c r="O32" s="1"/>
      <c r="P32" s="1"/>
      <c r="Q32" s="1"/>
      <c r="R32" s="1"/>
      <c r="S32" s="1"/>
      <c r="T32" s="1"/>
      <c r="U32" s="1"/>
      <c r="V32" s="1"/>
      <c r="W32" s="1"/>
      <c r="X32" s="1"/>
      <c r="Y32" s="1"/>
      <c r="Z32" s="1"/>
    </row>
    <row r="33" spans="1:26" ht="13.5" customHeight="1">
      <c r="A33" s="11">
        <v>45863</v>
      </c>
      <c r="B33" s="11" t="s">
        <v>21</v>
      </c>
      <c r="C33" s="12"/>
      <c r="D33" s="12"/>
      <c r="E33" s="12"/>
      <c r="F33" s="12"/>
      <c r="G33" s="13"/>
      <c r="H33" s="14">
        <f t="shared" si="0"/>
        <v>0</v>
      </c>
      <c r="I33" s="15"/>
      <c r="J33" s="15"/>
      <c r="K33" s="1"/>
      <c r="L33" s="1"/>
      <c r="M33" s="1"/>
      <c r="N33" s="1"/>
      <c r="O33" s="1"/>
      <c r="P33" s="1"/>
      <c r="Q33" s="1"/>
      <c r="R33" s="1"/>
      <c r="S33" s="1"/>
      <c r="T33" s="1"/>
      <c r="U33" s="1"/>
      <c r="V33" s="1"/>
      <c r="W33" s="1"/>
      <c r="X33" s="1"/>
      <c r="Y33" s="1"/>
      <c r="Z33" s="1"/>
    </row>
    <row r="34" spans="1:26" ht="13.5" customHeight="1">
      <c r="A34" s="16">
        <v>45864</v>
      </c>
      <c r="B34" s="16" t="s">
        <v>22</v>
      </c>
      <c r="C34" s="17"/>
      <c r="D34" s="17"/>
      <c r="E34" s="17"/>
      <c r="F34" s="17"/>
      <c r="G34" s="18"/>
      <c r="H34" s="19">
        <f t="shared" si="0"/>
        <v>0</v>
      </c>
      <c r="I34" s="20"/>
      <c r="J34" s="20"/>
      <c r="K34" s="1"/>
      <c r="L34" s="1"/>
      <c r="M34" s="1"/>
      <c r="N34" s="1"/>
      <c r="O34" s="1"/>
      <c r="P34" s="1"/>
      <c r="Q34" s="1"/>
      <c r="R34" s="1"/>
      <c r="S34" s="1"/>
      <c r="T34" s="1"/>
      <c r="U34" s="1"/>
      <c r="V34" s="1"/>
      <c r="W34" s="1"/>
      <c r="X34" s="1"/>
      <c r="Y34" s="1"/>
      <c r="Z34" s="1"/>
    </row>
    <row r="35" spans="1:26" ht="13.5" customHeight="1">
      <c r="A35" s="16">
        <v>45865</v>
      </c>
      <c r="B35" s="16" t="s">
        <v>23</v>
      </c>
      <c r="C35" s="17"/>
      <c r="D35" s="17"/>
      <c r="E35" s="17"/>
      <c r="F35" s="17"/>
      <c r="G35" s="18"/>
      <c r="H35" s="19">
        <f t="shared" si="0"/>
        <v>0</v>
      </c>
      <c r="I35" s="20"/>
      <c r="J35" s="20"/>
      <c r="K35" s="1"/>
      <c r="L35" s="1"/>
      <c r="M35" s="1"/>
      <c r="N35" s="1"/>
      <c r="O35" s="1"/>
      <c r="P35" s="1"/>
      <c r="Q35" s="1"/>
      <c r="R35" s="1"/>
      <c r="S35" s="1"/>
      <c r="T35" s="1"/>
      <c r="U35" s="1"/>
      <c r="V35" s="1"/>
      <c r="W35" s="1"/>
      <c r="X35" s="1"/>
      <c r="Y35" s="1"/>
      <c r="Z35" s="1"/>
    </row>
    <row r="36" spans="1:26" ht="13.5" customHeight="1">
      <c r="A36" s="11">
        <v>45866</v>
      </c>
      <c r="B36" s="11" t="s">
        <v>24</v>
      </c>
      <c r="C36" s="12"/>
      <c r="D36" s="12"/>
      <c r="E36" s="12"/>
      <c r="F36" s="12"/>
      <c r="G36" s="13"/>
      <c r="H36" s="14">
        <f t="shared" si="0"/>
        <v>0</v>
      </c>
      <c r="I36" s="15"/>
      <c r="J36" s="15"/>
      <c r="K36" s="1"/>
      <c r="L36" s="1"/>
      <c r="M36" s="1"/>
      <c r="N36" s="1"/>
      <c r="O36" s="1"/>
      <c r="P36" s="1"/>
      <c r="Q36" s="1"/>
      <c r="R36" s="1"/>
      <c r="S36" s="1"/>
      <c r="T36" s="1"/>
      <c r="U36" s="1"/>
      <c r="V36" s="1"/>
      <c r="W36" s="1"/>
      <c r="X36" s="1"/>
      <c r="Y36" s="1"/>
      <c r="Z36" s="1"/>
    </row>
    <row r="37" spans="1:26" ht="13.5" customHeight="1">
      <c r="A37" s="11">
        <v>45867</v>
      </c>
      <c r="B37" s="11" t="s">
        <v>13</v>
      </c>
      <c r="C37" s="12"/>
      <c r="D37" s="12"/>
      <c r="E37" s="12"/>
      <c r="F37" s="12"/>
      <c r="G37" s="13"/>
      <c r="H37" s="14">
        <f t="shared" si="0"/>
        <v>0</v>
      </c>
      <c r="I37" s="15"/>
      <c r="J37" s="15"/>
      <c r="K37" s="1"/>
      <c r="L37" s="1"/>
      <c r="M37" s="1"/>
      <c r="N37" s="1"/>
      <c r="O37" s="1"/>
      <c r="P37" s="1"/>
      <c r="Q37" s="1"/>
      <c r="R37" s="1"/>
      <c r="S37" s="1"/>
      <c r="T37" s="1"/>
      <c r="U37" s="1"/>
      <c r="V37" s="1"/>
      <c r="W37" s="1"/>
      <c r="X37" s="1"/>
      <c r="Y37" s="1"/>
      <c r="Z37" s="1"/>
    </row>
    <row r="38" spans="1:26" ht="13.5" customHeight="1">
      <c r="A38" s="11">
        <v>45868</v>
      </c>
      <c r="B38" s="11" t="s">
        <v>19</v>
      </c>
      <c r="C38" s="12"/>
      <c r="D38" s="12"/>
      <c r="E38" s="12"/>
      <c r="F38" s="12"/>
      <c r="G38" s="13"/>
      <c r="H38" s="14">
        <f t="shared" si="0"/>
        <v>0</v>
      </c>
      <c r="I38" s="15"/>
      <c r="J38" s="15"/>
      <c r="K38" s="1"/>
      <c r="L38" s="1"/>
      <c r="M38" s="1"/>
      <c r="N38" s="1"/>
      <c r="O38" s="1"/>
      <c r="P38" s="1"/>
      <c r="Q38" s="1"/>
      <c r="R38" s="1"/>
      <c r="S38" s="1"/>
      <c r="T38" s="1"/>
      <c r="U38" s="1"/>
      <c r="V38" s="1"/>
      <c r="W38" s="1"/>
      <c r="X38" s="1"/>
      <c r="Y38" s="1"/>
      <c r="Z38" s="1"/>
    </row>
    <row r="39" spans="1:26" ht="13.5" customHeight="1">
      <c r="A39" s="11">
        <v>45869</v>
      </c>
      <c r="B39" s="11" t="s">
        <v>20</v>
      </c>
      <c r="C39" s="12"/>
      <c r="D39" s="12"/>
      <c r="E39" s="12"/>
      <c r="F39" s="12"/>
      <c r="G39" s="13"/>
      <c r="H39" s="14">
        <f t="shared" si="0"/>
        <v>0</v>
      </c>
      <c r="I39" s="15"/>
      <c r="J39" s="15"/>
      <c r="K39" s="1"/>
      <c r="L39" s="1"/>
      <c r="M39" s="1"/>
      <c r="N39" s="1"/>
      <c r="O39" s="1"/>
      <c r="P39" s="1"/>
      <c r="Q39" s="1"/>
      <c r="R39" s="1"/>
      <c r="S39" s="1"/>
      <c r="T39" s="1"/>
      <c r="U39" s="1"/>
      <c r="V39" s="1"/>
      <c r="W39" s="1"/>
      <c r="X39" s="1"/>
      <c r="Y39" s="1"/>
      <c r="Z39" s="1"/>
    </row>
    <row r="40" spans="1:26" ht="13.5" customHeight="1">
      <c r="A40" s="53"/>
      <c r="B40" s="52"/>
      <c r="C40" s="52"/>
      <c r="D40" s="52"/>
      <c r="E40" s="52"/>
      <c r="F40" s="52"/>
      <c r="G40" s="52"/>
      <c r="H40" s="51"/>
      <c r="I40" s="2"/>
      <c r="J40" s="1"/>
      <c r="K40" s="1"/>
      <c r="L40" s="1"/>
      <c r="M40" s="1"/>
      <c r="N40" s="1"/>
      <c r="O40" s="1"/>
      <c r="P40" s="1"/>
      <c r="Q40" s="1"/>
      <c r="R40" s="1"/>
      <c r="S40" s="1"/>
      <c r="T40" s="1"/>
      <c r="U40" s="1"/>
      <c r="V40" s="1"/>
      <c r="W40" s="1"/>
      <c r="X40" s="1"/>
      <c r="Y40" s="1"/>
      <c r="Z40" s="1"/>
    </row>
    <row r="41" spans="1:26" ht="13.5" customHeight="1">
      <c r="A41" s="28"/>
      <c r="B41" s="28"/>
      <c r="C41" s="29"/>
      <c r="D41" s="30"/>
      <c r="E41" s="31" t="s">
        <v>159</v>
      </c>
      <c r="F41" s="32">
        <v>184</v>
      </c>
      <c r="G41" s="1"/>
      <c r="H41" s="3"/>
      <c r="I41" s="1"/>
      <c r="J41" s="1"/>
      <c r="K41" s="1"/>
      <c r="L41" s="1"/>
      <c r="M41" s="1"/>
      <c r="N41" s="1"/>
      <c r="O41" s="1"/>
      <c r="P41" s="1"/>
      <c r="Q41" s="1"/>
      <c r="R41" s="1"/>
      <c r="S41" s="1"/>
      <c r="T41" s="1"/>
      <c r="U41" s="1"/>
      <c r="V41" s="1"/>
      <c r="W41" s="1"/>
      <c r="X41" s="1"/>
      <c r="Y41" s="1"/>
      <c r="Z41" s="1"/>
    </row>
    <row r="42" spans="1:26" ht="13.5" customHeight="1">
      <c r="A42" s="28"/>
      <c r="B42" s="28"/>
      <c r="C42" s="33"/>
      <c r="D42" s="34"/>
      <c r="E42" s="35" t="s">
        <v>160</v>
      </c>
      <c r="F42" s="127">
        <v>23</v>
      </c>
      <c r="G42" s="1"/>
      <c r="H42" s="3"/>
      <c r="I42" s="1"/>
      <c r="J42" s="1"/>
      <c r="K42" s="1"/>
      <c r="L42" s="1"/>
      <c r="M42" s="1"/>
      <c r="N42" s="1"/>
      <c r="O42" s="1"/>
      <c r="P42" s="1"/>
      <c r="Q42" s="1"/>
      <c r="R42" s="1"/>
      <c r="S42" s="1"/>
      <c r="T42" s="1"/>
      <c r="U42" s="1"/>
      <c r="V42" s="1"/>
      <c r="W42" s="1"/>
      <c r="X42" s="1"/>
      <c r="Y42" s="1"/>
      <c r="Z42" s="1"/>
    </row>
    <row r="43" spans="1:26" ht="13.5" customHeight="1">
      <c r="A43" s="136" t="s">
        <v>161</v>
      </c>
      <c r="B43" s="137"/>
      <c r="C43" s="137"/>
      <c r="D43" s="36"/>
      <c r="E43" s="34"/>
      <c r="F43" s="34"/>
      <c r="G43" s="1"/>
      <c r="H43" s="3"/>
      <c r="I43" s="1"/>
      <c r="J43" s="1"/>
      <c r="K43" s="1"/>
      <c r="L43" s="1"/>
      <c r="M43" s="1"/>
      <c r="N43" s="1"/>
      <c r="O43" s="1"/>
      <c r="P43" s="1"/>
      <c r="Q43" s="1"/>
      <c r="R43" s="1"/>
      <c r="S43" s="1"/>
      <c r="T43" s="1"/>
      <c r="U43" s="1"/>
      <c r="V43" s="1"/>
      <c r="W43" s="1"/>
      <c r="X43" s="1"/>
      <c r="Y43" s="1"/>
      <c r="Z43" s="1"/>
    </row>
    <row r="44" spans="1:26" ht="13.5" customHeight="1">
      <c r="A44" s="37"/>
      <c r="B44" s="37"/>
      <c r="C44" s="30"/>
      <c r="D44" s="30"/>
      <c r="E44" s="38" t="s">
        <v>162</v>
      </c>
      <c r="F44" s="39">
        <f>SUMIF(F9:F39,"Billable",H9:H39)</f>
        <v>0.33333333333333331</v>
      </c>
      <c r="G44" s="1"/>
      <c r="H44" s="40"/>
      <c r="I44" s="1"/>
      <c r="J44" s="1"/>
      <c r="K44" s="1"/>
      <c r="L44" s="1"/>
      <c r="M44" s="1"/>
      <c r="N44" s="1"/>
      <c r="O44" s="1"/>
      <c r="P44" s="1"/>
      <c r="Q44" s="1"/>
      <c r="R44" s="1"/>
      <c r="S44" s="1"/>
      <c r="T44" s="1"/>
      <c r="U44" s="1"/>
      <c r="V44" s="1"/>
      <c r="W44" s="1"/>
      <c r="X44" s="1"/>
      <c r="Y44" s="1"/>
      <c r="Z44" s="1"/>
    </row>
    <row r="45" spans="1:26" ht="15" customHeight="1">
      <c r="A45" s="138" t="s">
        <v>163</v>
      </c>
      <c r="B45" s="137"/>
      <c r="C45" s="137"/>
      <c r="D45" s="41"/>
      <c r="E45" s="128" t="s">
        <v>164</v>
      </c>
      <c r="F45" s="42">
        <f>SUMIF(F9:F39,"Non-Billable",H9:H39)</f>
        <v>0</v>
      </c>
      <c r="G45" s="1"/>
      <c r="H45" s="3"/>
      <c r="I45" s="1"/>
      <c r="J45" s="1"/>
      <c r="K45" s="1"/>
      <c r="L45" s="1"/>
      <c r="M45" s="1"/>
      <c r="N45" s="1"/>
      <c r="O45" s="1"/>
      <c r="P45" s="1"/>
      <c r="Q45" s="1"/>
      <c r="R45" s="1"/>
      <c r="S45" s="1"/>
      <c r="T45" s="1"/>
      <c r="U45" s="1"/>
      <c r="V45" s="1"/>
      <c r="W45" s="1"/>
      <c r="X45" s="1"/>
      <c r="Y45" s="1"/>
      <c r="Z45" s="1"/>
    </row>
    <row r="46" spans="1:26" ht="13.5" customHeight="1">
      <c r="A46" s="34"/>
      <c r="B46" s="34"/>
      <c r="C46" s="34"/>
      <c r="D46" s="34"/>
      <c r="E46" s="43" t="s">
        <v>165</v>
      </c>
      <c r="F46" s="44">
        <f>F44+F45</f>
        <v>0.33333333333333331</v>
      </c>
      <c r="G46" s="1"/>
      <c r="H46" s="3"/>
      <c r="I46" s="1"/>
      <c r="J46" s="1"/>
      <c r="K46" s="1"/>
      <c r="L46" s="1"/>
      <c r="M46" s="1"/>
      <c r="N46" s="1"/>
      <c r="O46" s="1"/>
      <c r="P46" s="1"/>
      <c r="Q46" s="1"/>
      <c r="R46" s="1"/>
      <c r="S46" s="1"/>
      <c r="T46" s="1"/>
      <c r="U46" s="1"/>
      <c r="V46" s="1"/>
      <c r="W46" s="1"/>
      <c r="X46" s="1"/>
      <c r="Y46" s="1"/>
      <c r="Z46" s="1"/>
    </row>
    <row r="47" spans="1:26" ht="13.5" customHeight="1">
      <c r="A47" s="34"/>
      <c r="B47" s="34"/>
      <c r="C47" s="34"/>
      <c r="D47" s="34"/>
      <c r="E47" s="34"/>
      <c r="F47" s="34"/>
      <c r="G47" s="1"/>
      <c r="H47" s="3"/>
      <c r="I47" s="1"/>
      <c r="J47" s="1"/>
      <c r="K47" s="1"/>
      <c r="L47" s="1"/>
      <c r="M47" s="1"/>
      <c r="N47" s="1"/>
      <c r="O47" s="1"/>
      <c r="P47" s="1"/>
      <c r="Q47" s="1"/>
      <c r="R47" s="1"/>
      <c r="S47" s="1"/>
      <c r="T47" s="1"/>
      <c r="U47" s="1"/>
      <c r="V47" s="1"/>
      <c r="W47" s="1"/>
      <c r="X47" s="1"/>
      <c r="Y47" s="1"/>
      <c r="Z47" s="1"/>
    </row>
    <row r="48" spans="1:26" ht="13.5" customHeight="1">
      <c r="A48" s="34"/>
      <c r="B48" s="34"/>
      <c r="C48" s="34"/>
      <c r="D48" s="34"/>
      <c r="E48" s="45" t="s">
        <v>166</v>
      </c>
      <c r="F48" s="46"/>
      <c r="G48" s="1"/>
      <c r="H48" s="3"/>
      <c r="I48" s="1"/>
      <c r="J48" s="1"/>
      <c r="K48" s="1"/>
      <c r="L48" s="1"/>
      <c r="M48" s="1"/>
      <c r="N48" s="1"/>
      <c r="O48" s="1"/>
      <c r="P48" s="1"/>
      <c r="Q48" s="1"/>
      <c r="R48" s="1"/>
      <c r="S48" s="1"/>
      <c r="T48" s="1"/>
      <c r="U48" s="1"/>
      <c r="V48" s="1"/>
      <c r="W48" s="1"/>
      <c r="X48" s="1"/>
      <c r="Y48" s="1"/>
      <c r="Z48" s="1"/>
    </row>
    <row r="49" spans="1:26" ht="13.5" customHeight="1">
      <c r="A49" s="1"/>
      <c r="B49" s="1"/>
      <c r="C49" s="1"/>
      <c r="D49" s="1"/>
      <c r="E49" s="47"/>
      <c r="F49" s="1"/>
      <c r="G49" s="1"/>
      <c r="H49" s="3"/>
      <c r="I49" s="1"/>
      <c r="J49" s="1"/>
      <c r="K49" s="1"/>
      <c r="L49" s="1"/>
      <c r="M49" s="1"/>
      <c r="N49" s="1"/>
      <c r="O49" s="1"/>
      <c r="P49" s="1"/>
      <c r="Q49" s="1"/>
      <c r="R49" s="1"/>
      <c r="S49" s="1"/>
      <c r="T49" s="1"/>
      <c r="U49" s="1"/>
      <c r="V49" s="1"/>
      <c r="W49" s="1"/>
      <c r="X49" s="1"/>
      <c r="Y49" s="1"/>
      <c r="Z49" s="1"/>
    </row>
    <row r="50" spans="1:26"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43:C43"/>
    <mergeCell ref="A45:C45"/>
  </mergeCells>
  <conditionalFormatting sqref="A6:B6 D6:E7">
    <cfRule type="containsText" dxfId="47" priority="1" operator="containsText" text="Religious Leave">
      <formula>NOT(ISERROR(SEARCH(("Religious Leave"),(A6))))</formula>
    </cfRule>
    <cfRule type="containsText" dxfId="46" priority="2" operator="containsText" text="Birthday Leave">
      <formula>NOT(ISERROR(SEARCH(("Birthday Leave"),(A6))))</formula>
    </cfRule>
    <cfRule type="containsText" dxfId="45" priority="3" operator="containsText" text="Study Leave">
      <formula>NOT(ISERROR(SEARCH(("Study Leave"),(A6))))</formula>
    </cfRule>
    <cfRule type="containsText" dxfId="44" priority="4" operator="containsText" text="Family Responsibility Leave">
      <formula>NOT(ISERROR(SEARCH(("Family Responsibility Leave"),(A6))))</formula>
    </cfRule>
    <cfRule type="containsText" dxfId="43" priority="5" operator="containsText" text="Sick Leave">
      <formula>NOT(ISERROR(SEARCH(("Sick Leave"),(A6))))</formula>
    </cfRule>
    <cfRule type="containsText" dxfId="42" priority="6" operator="containsText" text="Annual Leave">
      <formula>NOT(ISERROR(SEARCH(("Annual Leave"),(A6))))</formula>
    </cfRule>
    <cfRule type="cellIs" dxfId="41" priority="7" operator="equal">
      <formula>"Public Holiday"</formula>
    </cfRule>
  </conditionalFormatting>
  <conditionalFormatting sqref="B7:B49">
    <cfRule type="containsText" dxfId="40" priority="8" operator="containsText" text="Saturday">
      <formula>NOT(ISERROR(SEARCH(("Saturday"),(B7))))</formula>
    </cfRule>
    <cfRule type="containsText" dxfId="39" priority="9" operator="containsText" text="Sunday">
      <formula>NOT(ISERROR(SEARCH(("Sunday"),(B7))))</formula>
    </cfRule>
  </conditionalFormatting>
  <conditionalFormatting sqref="D40:E41 D43:E45 E48">
    <cfRule type="containsText" dxfId="38" priority="10" operator="containsText" text="Religious Leave">
      <formula>NOT(ISERROR(SEARCH(("Religious Leave"),(D40))))</formula>
    </cfRule>
    <cfRule type="containsText" dxfId="37" priority="11" operator="containsText" text="Birthday Leave">
      <formula>NOT(ISERROR(SEARCH(("Birthday Leave"),(D40))))</formula>
    </cfRule>
    <cfRule type="containsText" dxfId="36" priority="12" operator="containsText" text="Study Leave">
      <formula>NOT(ISERROR(SEARCH(("Study Leave"),(D40))))</formula>
    </cfRule>
    <cfRule type="containsText" dxfId="35" priority="13" operator="containsText" text="Family Responsibility Leave">
      <formula>NOT(ISERROR(SEARCH(("Family Responsibility Leave"),(D40))))</formula>
    </cfRule>
    <cfRule type="containsText" dxfId="34" priority="14" operator="containsText" text="Sick Leave">
      <formula>NOT(ISERROR(SEARCH(("Sick Leave"),(D40))))</formula>
    </cfRule>
    <cfRule type="containsText" dxfId="33" priority="15" operator="containsText" text="Annual Leave">
      <formula>NOT(ISERROR(SEARCH(("Annual Leave"),(D40))))</formula>
    </cfRule>
    <cfRule type="cellIs" dxfId="32" priority="16" operator="equal">
      <formula>"Public Holiday"</formula>
    </cfRule>
  </conditionalFormatting>
  <dataValidations count="2">
    <dataValidation type="custom" allowBlank="1" showInputMessage="1" showErrorMessage="1" prompt="Invalid Time Format - Please input a valid time. For e.g. 08:00" sqref="I9:J10" xr:uid="{00000000-0002-0000-0300-000001000000}">
      <formula1>AND(GTE(I9,MIN((0),(0.999988425925926))),LTE(I9,MAX((0),(0.999988425925926))))</formula1>
    </dataValidation>
    <dataValidation type="custom" allowBlank="1" showInputMessage="1" showErrorMessage="1" prompt="Invlaid Time Format - Please input a valid time. For e.g. 08:00" sqref="I11:J39" xr:uid="{00000000-0002-0000-0300-000003000000}">
      <formula1>AND(GTE(I11,MIN((0),(0.999988425925926))),LTE(I11,MAX((0),(0.999988425925926))))</formula1>
    </dataValidation>
  </dataValidations>
  <pageMargins left="0.7" right="0.7" top="0.75" bottom="0.75" header="0" footer="0"/>
  <pageSetup paperSize="9" scale="75" orientation="portrait"/>
  <headerFooter>
    <oddFooter>&amp;L_x000D_#000000 Classified as Confidential</oddFooter>
  </headerFooter>
  <drawing r:id="rId1"/>
  <extLst>
    <ext xmlns:x14="http://schemas.microsoft.com/office/spreadsheetml/2009/9/main" uri="{CCE6A557-97BC-4b89-ADB6-D9C93CAAB3DF}">
      <x14:dataValidations xmlns:xm="http://schemas.microsoft.com/office/excel/2006/main" count="6">
        <x14:dataValidation type="list" allowBlank="1" showErrorMessage="1" xr:uid="{00000000-0002-0000-0300-000000000000}">
          <x14:formula1>
            <xm:f>Key!$K$3:$K$4</xm:f>
          </x14:formula1>
          <xm:sqref>F9:F39</xm:sqref>
        </x14:dataValidation>
        <x14:dataValidation type="list" allowBlank="1" showErrorMessage="1" xr:uid="{00000000-0002-0000-0300-000002000000}">
          <x14:formula1>
            <xm:f>Key!$F$3:$F$46</xm:f>
          </x14:formula1>
          <xm:sqref>E9:E10</xm:sqref>
        </x14:dataValidation>
        <x14:dataValidation type="list" allowBlank="1" showErrorMessage="1" xr:uid="{00000000-0002-0000-0300-000004000000}">
          <x14:formula1>
            <xm:f>Key!$B$2:$B$55</xm:f>
          </x14:formula1>
          <xm:sqref>C11:C39</xm:sqref>
        </x14:dataValidation>
        <x14:dataValidation type="list" allowBlank="1" showErrorMessage="1" xr:uid="{00000000-0002-0000-0300-000005000000}">
          <x14:formula1>
            <xm:f>Key!$B$2:$B$50</xm:f>
          </x14:formula1>
          <xm:sqref>C9:C10</xm:sqref>
        </x14:dataValidation>
        <x14:dataValidation type="list" allowBlank="1" showErrorMessage="1" xr:uid="{00000000-0002-0000-0300-000006000000}">
          <x14:formula1>
            <xm:f>Key!$F$3:$F$43</xm:f>
          </x14:formula1>
          <xm:sqref>E11:E39</xm:sqref>
        </x14:dataValidation>
        <x14:dataValidation type="list" allowBlank="1" showErrorMessage="1" xr:uid="{00000000-0002-0000-0300-000007000000}">
          <x14:formula1>
            <xm:f>Key!$H$3:$H$81</xm:f>
          </x14:formula1>
          <xm:sqref>B5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2.59765625" defaultRowHeight="15" customHeight="1"/>
  <cols>
    <col min="1" max="1" width="12" customWidth="1"/>
    <col min="2" max="2" width="13.09765625" customWidth="1"/>
    <col min="3" max="3" width="16.09765625" customWidth="1"/>
    <col min="4" max="5" width="20" customWidth="1"/>
    <col min="6" max="6" width="23.09765625" customWidth="1"/>
    <col min="7" max="7" width="34" customWidth="1"/>
    <col min="8" max="26" width="8.59765625" customWidth="1"/>
  </cols>
  <sheetData>
    <row r="1" spans="1:26" ht="13.5" customHeight="1">
      <c r="A1" s="1"/>
      <c r="B1" s="1"/>
      <c r="C1" s="1"/>
      <c r="D1" s="1"/>
      <c r="E1" s="1"/>
      <c r="F1" s="1"/>
      <c r="G1" s="1"/>
      <c r="H1" s="1"/>
      <c r="I1" s="1"/>
      <c r="J1" s="1"/>
      <c r="K1" s="1"/>
      <c r="L1" s="1"/>
      <c r="M1" s="1"/>
      <c r="N1" s="1"/>
      <c r="O1" s="1"/>
      <c r="P1" s="1"/>
      <c r="Q1" s="1"/>
      <c r="R1" s="1"/>
      <c r="S1" s="1"/>
      <c r="T1" s="1"/>
      <c r="U1" s="1"/>
      <c r="V1" s="1"/>
      <c r="W1" s="1"/>
      <c r="X1" s="1"/>
      <c r="Y1" s="1"/>
      <c r="Z1" s="1"/>
    </row>
    <row r="2" spans="1:26" ht="13.5" customHeight="1">
      <c r="A2" s="1"/>
      <c r="B2" s="1"/>
      <c r="C2" s="1"/>
      <c r="D2" s="1"/>
      <c r="E2" s="1"/>
      <c r="F2" s="1"/>
      <c r="G2" s="1"/>
      <c r="H2" s="1"/>
      <c r="I2" s="1"/>
      <c r="J2" s="1"/>
      <c r="K2" s="1"/>
      <c r="L2" s="1"/>
      <c r="M2" s="1"/>
      <c r="N2" s="1"/>
      <c r="O2" s="1"/>
      <c r="P2" s="1"/>
      <c r="Q2" s="1"/>
      <c r="R2" s="1"/>
      <c r="S2" s="1"/>
      <c r="T2" s="1"/>
      <c r="U2" s="1"/>
      <c r="V2" s="1"/>
      <c r="W2" s="1"/>
      <c r="X2" s="1"/>
      <c r="Y2" s="1"/>
      <c r="Z2" s="1"/>
    </row>
    <row r="3" spans="1:26" ht="13.5" customHeight="1">
      <c r="A3" s="1"/>
      <c r="B3" s="1"/>
      <c r="C3" s="1"/>
      <c r="D3" s="1"/>
      <c r="E3" s="1"/>
      <c r="F3" s="1"/>
      <c r="G3" s="1"/>
      <c r="H3" s="1"/>
      <c r="I3" s="1"/>
      <c r="J3" s="1"/>
      <c r="K3" s="1"/>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 t="s">
        <v>0</v>
      </c>
      <c r="B5" s="1" t="s">
        <v>15</v>
      </c>
      <c r="C5" s="2"/>
      <c r="D5" s="1"/>
      <c r="E5" s="1"/>
      <c r="F5" s="1"/>
      <c r="G5" s="1"/>
      <c r="H5" s="3"/>
      <c r="I5" s="1"/>
      <c r="J5" s="1"/>
      <c r="K5" s="1"/>
      <c r="L5" s="1"/>
      <c r="M5" s="1"/>
      <c r="N5" s="1"/>
      <c r="O5" s="1"/>
      <c r="P5" s="1"/>
      <c r="Q5" s="1"/>
      <c r="R5" s="1"/>
      <c r="S5" s="1"/>
      <c r="T5" s="1"/>
      <c r="U5" s="1"/>
      <c r="V5" s="1"/>
      <c r="W5" s="1"/>
      <c r="X5" s="1"/>
      <c r="Y5" s="1"/>
      <c r="Z5" s="1"/>
    </row>
    <row r="6" spans="1:26" ht="13.5" customHeight="1">
      <c r="A6" s="2" t="s">
        <v>2</v>
      </c>
      <c r="B6" s="126">
        <f>F44</f>
        <v>0.33333333333333331</v>
      </c>
      <c r="C6" s="2"/>
      <c r="D6" s="2"/>
      <c r="E6" s="2"/>
      <c r="F6" s="1"/>
      <c r="G6" s="1"/>
      <c r="H6" s="3"/>
      <c r="I6" s="1"/>
      <c r="J6" s="4"/>
      <c r="K6" s="1"/>
      <c r="L6" s="1"/>
      <c r="M6" s="1"/>
      <c r="N6" s="1"/>
      <c r="O6" s="1"/>
      <c r="P6" s="1"/>
      <c r="Q6" s="1"/>
      <c r="R6" s="1"/>
      <c r="S6" s="1"/>
      <c r="T6" s="1"/>
      <c r="U6" s="1"/>
      <c r="V6" s="1"/>
      <c r="W6" s="1"/>
      <c r="X6" s="1"/>
      <c r="Y6" s="1"/>
      <c r="Z6" s="1"/>
    </row>
    <row r="7" spans="1:26" ht="13.5" customHeight="1">
      <c r="A7" s="1"/>
      <c r="B7" s="1"/>
      <c r="C7" s="1"/>
      <c r="D7" s="1"/>
      <c r="E7" s="1"/>
      <c r="F7" s="1"/>
      <c r="G7" s="1"/>
      <c r="H7" s="3"/>
      <c r="I7" s="1"/>
      <c r="J7" s="1"/>
      <c r="K7" s="1"/>
      <c r="L7" s="1"/>
      <c r="M7" s="1"/>
      <c r="N7" s="1"/>
      <c r="O7" s="1"/>
      <c r="P7" s="1"/>
      <c r="Q7" s="1"/>
      <c r="R7" s="1"/>
      <c r="S7" s="1"/>
      <c r="T7" s="1"/>
      <c r="U7" s="1"/>
      <c r="V7" s="1"/>
      <c r="W7" s="1"/>
      <c r="X7" s="1"/>
      <c r="Y7" s="1"/>
      <c r="Z7" s="1"/>
    </row>
    <row r="8" spans="1:26" ht="13.5" customHeight="1">
      <c r="A8" s="6" t="s">
        <v>3</v>
      </c>
      <c r="B8" s="7" t="s">
        <v>4</v>
      </c>
      <c r="C8" s="7" t="s">
        <v>5</v>
      </c>
      <c r="D8" s="7" t="s">
        <v>6</v>
      </c>
      <c r="E8" s="7" t="s">
        <v>7</v>
      </c>
      <c r="F8" s="7" t="s">
        <v>8</v>
      </c>
      <c r="G8" s="8" t="s">
        <v>9</v>
      </c>
      <c r="H8" s="9" t="s">
        <v>10</v>
      </c>
      <c r="I8" s="9" t="s">
        <v>11</v>
      </c>
      <c r="J8" s="10" t="s">
        <v>12</v>
      </c>
      <c r="K8" s="1"/>
      <c r="L8" s="1"/>
      <c r="M8" s="1"/>
      <c r="N8" s="1"/>
      <c r="O8" s="1"/>
      <c r="P8" s="1"/>
      <c r="Q8" s="1"/>
      <c r="R8" s="1"/>
      <c r="S8" s="1"/>
      <c r="T8" s="1"/>
      <c r="U8" s="1"/>
      <c r="V8" s="1"/>
      <c r="W8" s="1"/>
      <c r="X8" s="1"/>
      <c r="Y8" s="1"/>
      <c r="Z8" s="1"/>
    </row>
    <row r="9" spans="1:26" ht="13.5" customHeight="1">
      <c r="A9" s="11">
        <v>45870</v>
      </c>
      <c r="B9" s="11" t="s">
        <v>21</v>
      </c>
      <c r="C9" s="12" t="s">
        <v>25</v>
      </c>
      <c r="D9" s="12" t="s">
        <v>15</v>
      </c>
      <c r="E9" s="12" t="s">
        <v>16</v>
      </c>
      <c r="F9" s="12" t="s">
        <v>17</v>
      </c>
      <c r="G9" s="13" t="s">
        <v>168</v>
      </c>
      <c r="H9" s="14">
        <f t="shared" ref="H9:H39" si="0">J9-I9</f>
        <v>0.33333333333333331</v>
      </c>
      <c r="I9" s="15">
        <v>0.33333333333333331</v>
      </c>
      <c r="J9" s="15">
        <v>0.66666666666666663</v>
      </c>
      <c r="K9" s="1"/>
      <c r="L9" s="1"/>
      <c r="M9" s="1"/>
      <c r="N9" s="1"/>
      <c r="O9" s="1"/>
      <c r="P9" s="1"/>
      <c r="Q9" s="1"/>
      <c r="R9" s="1"/>
      <c r="S9" s="1"/>
      <c r="T9" s="1"/>
      <c r="U9" s="1"/>
      <c r="V9" s="1"/>
      <c r="W9" s="1"/>
      <c r="X9" s="1"/>
      <c r="Y9" s="1"/>
      <c r="Z9" s="1"/>
    </row>
    <row r="10" spans="1:26" ht="13.5" customHeight="1">
      <c r="A10" s="16">
        <v>45871</v>
      </c>
      <c r="B10" s="16" t="s">
        <v>22</v>
      </c>
      <c r="C10" s="17"/>
      <c r="D10" s="17"/>
      <c r="E10" s="17"/>
      <c r="F10" s="17"/>
      <c r="G10" s="18"/>
      <c r="H10" s="19">
        <f t="shared" si="0"/>
        <v>0</v>
      </c>
      <c r="I10" s="20"/>
      <c r="J10" s="20"/>
      <c r="K10" s="1"/>
      <c r="L10" s="1"/>
      <c r="M10" s="1"/>
      <c r="N10" s="1"/>
      <c r="O10" s="1"/>
      <c r="P10" s="1"/>
      <c r="Q10" s="1"/>
      <c r="R10" s="1"/>
      <c r="S10" s="1"/>
      <c r="T10" s="1"/>
      <c r="U10" s="1"/>
      <c r="V10" s="1"/>
      <c r="W10" s="1"/>
      <c r="X10" s="1"/>
      <c r="Y10" s="1"/>
      <c r="Z10" s="1"/>
    </row>
    <row r="11" spans="1:26" ht="13.5" customHeight="1">
      <c r="A11" s="16">
        <v>45872</v>
      </c>
      <c r="B11" s="16" t="s">
        <v>23</v>
      </c>
      <c r="C11" s="17"/>
      <c r="D11" s="17"/>
      <c r="E11" s="17"/>
      <c r="F11" s="17"/>
      <c r="G11" s="18"/>
      <c r="H11" s="19">
        <f t="shared" si="0"/>
        <v>0</v>
      </c>
      <c r="I11" s="20"/>
      <c r="J11" s="20"/>
      <c r="K11" s="1"/>
      <c r="L11" s="1"/>
      <c r="M11" s="1"/>
      <c r="N11" s="1"/>
      <c r="O11" s="1"/>
      <c r="P11" s="1"/>
      <c r="Q11" s="1"/>
      <c r="R11" s="1"/>
      <c r="S11" s="1"/>
      <c r="T11" s="1"/>
      <c r="U11" s="1"/>
      <c r="V11" s="1"/>
      <c r="W11" s="1"/>
      <c r="X11" s="1"/>
      <c r="Y11" s="1"/>
      <c r="Z11" s="1"/>
    </row>
    <row r="12" spans="1:26" ht="13.5" customHeight="1">
      <c r="A12" s="11">
        <v>45873</v>
      </c>
      <c r="B12" s="11" t="s">
        <v>24</v>
      </c>
      <c r="C12" s="12"/>
      <c r="D12" s="12"/>
      <c r="E12" s="12"/>
      <c r="F12" s="12"/>
      <c r="G12" s="13"/>
      <c r="H12" s="14">
        <f t="shared" si="0"/>
        <v>0</v>
      </c>
      <c r="I12" s="15"/>
      <c r="J12" s="15"/>
      <c r="K12" s="1"/>
      <c r="L12" s="1"/>
      <c r="M12" s="1"/>
      <c r="N12" s="1"/>
      <c r="O12" s="1"/>
      <c r="P12" s="1"/>
      <c r="Q12" s="1"/>
      <c r="R12" s="1"/>
      <c r="S12" s="1"/>
      <c r="T12" s="1"/>
      <c r="U12" s="1"/>
      <c r="V12" s="1"/>
      <c r="W12" s="1"/>
      <c r="X12" s="1"/>
      <c r="Y12" s="1"/>
      <c r="Z12" s="1"/>
    </row>
    <row r="13" spans="1:26" ht="13.5" customHeight="1">
      <c r="A13" s="11">
        <v>45874</v>
      </c>
      <c r="B13" s="11" t="s">
        <v>13</v>
      </c>
      <c r="C13" s="12"/>
      <c r="D13" s="12"/>
      <c r="E13" s="12"/>
      <c r="F13" s="12"/>
      <c r="G13" s="13"/>
      <c r="H13" s="14">
        <f t="shared" si="0"/>
        <v>0</v>
      </c>
      <c r="I13" s="15"/>
      <c r="J13" s="15"/>
      <c r="K13" s="1"/>
      <c r="L13" s="1"/>
      <c r="M13" s="1"/>
      <c r="N13" s="1"/>
      <c r="O13" s="1"/>
      <c r="P13" s="1"/>
      <c r="Q13" s="1"/>
      <c r="R13" s="1"/>
      <c r="S13" s="1"/>
      <c r="T13" s="1"/>
      <c r="U13" s="1"/>
      <c r="V13" s="1"/>
      <c r="W13" s="1"/>
      <c r="X13" s="1"/>
      <c r="Y13" s="1"/>
      <c r="Z13" s="1"/>
    </row>
    <row r="14" spans="1:26" ht="13.5" customHeight="1">
      <c r="A14" s="11">
        <v>45875</v>
      </c>
      <c r="B14" s="11" t="s">
        <v>19</v>
      </c>
      <c r="C14" s="12"/>
      <c r="D14" s="12"/>
      <c r="E14" s="12"/>
      <c r="F14" s="12"/>
      <c r="G14" s="13"/>
      <c r="H14" s="14">
        <f t="shared" si="0"/>
        <v>0</v>
      </c>
      <c r="I14" s="15"/>
      <c r="J14" s="15"/>
      <c r="K14" s="1"/>
      <c r="L14" s="1"/>
      <c r="M14" s="1"/>
      <c r="N14" s="1"/>
      <c r="O14" s="1"/>
      <c r="P14" s="1"/>
      <c r="Q14" s="1"/>
      <c r="R14" s="1"/>
      <c r="S14" s="1"/>
      <c r="T14" s="1"/>
      <c r="U14" s="1"/>
      <c r="V14" s="1"/>
      <c r="W14" s="1"/>
      <c r="X14" s="1"/>
      <c r="Y14" s="1"/>
      <c r="Z14" s="1"/>
    </row>
    <row r="15" spans="1:26" ht="13.5" customHeight="1">
      <c r="A15" s="11">
        <v>45876</v>
      </c>
      <c r="B15" s="11" t="s">
        <v>20</v>
      </c>
      <c r="C15" s="12"/>
      <c r="D15" s="12"/>
      <c r="E15" s="12"/>
      <c r="F15" s="12"/>
      <c r="G15" s="13"/>
      <c r="H15" s="14">
        <f t="shared" si="0"/>
        <v>0</v>
      </c>
      <c r="I15" s="15"/>
      <c r="J15" s="15"/>
      <c r="K15" s="1"/>
      <c r="L15" s="1"/>
      <c r="M15" s="1"/>
      <c r="N15" s="1"/>
      <c r="O15" s="1"/>
      <c r="P15" s="1"/>
      <c r="Q15" s="1"/>
      <c r="R15" s="1"/>
      <c r="S15" s="1"/>
      <c r="T15" s="1"/>
      <c r="U15" s="1"/>
      <c r="V15" s="1"/>
      <c r="W15" s="1"/>
      <c r="X15" s="1"/>
      <c r="Y15" s="1"/>
      <c r="Z15" s="1"/>
    </row>
    <row r="16" spans="1:26" ht="13.5" customHeight="1">
      <c r="A16" s="11">
        <v>45877</v>
      </c>
      <c r="B16" s="11" t="s">
        <v>21</v>
      </c>
      <c r="C16" s="12"/>
      <c r="D16" s="12"/>
      <c r="E16" s="12"/>
      <c r="F16" s="12"/>
      <c r="G16" s="13"/>
      <c r="H16" s="14">
        <f t="shared" si="0"/>
        <v>0</v>
      </c>
      <c r="I16" s="15"/>
      <c r="J16" s="15"/>
      <c r="K16" s="1"/>
      <c r="L16" s="1"/>
      <c r="M16" s="1"/>
      <c r="N16" s="1"/>
      <c r="O16" s="1"/>
      <c r="P16" s="1"/>
      <c r="Q16" s="1"/>
      <c r="R16" s="1"/>
      <c r="S16" s="1"/>
      <c r="T16" s="1"/>
      <c r="U16" s="1"/>
      <c r="V16" s="1"/>
      <c r="W16" s="1"/>
      <c r="X16" s="1"/>
      <c r="Y16" s="1"/>
      <c r="Z16" s="1"/>
    </row>
    <row r="17" spans="1:26" ht="13.5" customHeight="1">
      <c r="A17" s="16">
        <v>45878</v>
      </c>
      <c r="B17" s="16" t="s">
        <v>22</v>
      </c>
      <c r="C17" s="17"/>
      <c r="D17" s="17"/>
      <c r="E17" s="17"/>
      <c r="F17" s="17"/>
      <c r="G17" s="18" t="s">
        <v>170</v>
      </c>
      <c r="H17" s="19">
        <f t="shared" si="0"/>
        <v>0</v>
      </c>
      <c r="I17" s="20"/>
      <c r="J17" s="20"/>
      <c r="K17" s="1"/>
      <c r="L17" s="1"/>
      <c r="M17" s="1"/>
      <c r="N17" s="1"/>
      <c r="O17" s="1"/>
      <c r="P17" s="1"/>
      <c r="Q17" s="1"/>
      <c r="R17" s="1"/>
      <c r="S17" s="1"/>
      <c r="T17" s="1"/>
      <c r="U17" s="1"/>
      <c r="V17" s="1"/>
      <c r="W17" s="1"/>
      <c r="X17" s="1"/>
      <c r="Y17" s="1"/>
      <c r="Z17" s="1"/>
    </row>
    <row r="18" spans="1:26" ht="13.5" customHeight="1">
      <c r="A18" s="16">
        <v>45879</v>
      </c>
      <c r="B18" s="16" t="s">
        <v>23</v>
      </c>
      <c r="C18" s="17"/>
      <c r="D18" s="17"/>
      <c r="E18" s="17"/>
      <c r="F18" s="17"/>
      <c r="G18" s="18"/>
      <c r="H18" s="19">
        <f t="shared" si="0"/>
        <v>0</v>
      </c>
      <c r="I18" s="20"/>
      <c r="J18" s="20"/>
      <c r="K18" s="1"/>
      <c r="L18" s="1"/>
      <c r="M18" s="1"/>
      <c r="N18" s="1"/>
      <c r="O18" s="1"/>
      <c r="P18" s="1"/>
      <c r="Q18" s="1"/>
      <c r="R18" s="1"/>
      <c r="S18" s="1"/>
      <c r="T18" s="1"/>
      <c r="U18" s="1"/>
      <c r="V18" s="1"/>
      <c r="W18" s="1"/>
      <c r="X18" s="1"/>
      <c r="Y18" s="1"/>
      <c r="Z18" s="1"/>
    </row>
    <row r="19" spans="1:26" ht="13.5" customHeight="1">
      <c r="A19" s="11">
        <v>45880</v>
      </c>
      <c r="B19" s="11" t="s">
        <v>24</v>
      </c>
      <c r="C19" s="12"/>
      <c r="D19" s="12"/>
      <c r="E19" s="12"/>
      <c r="F19" s="12"/>
      <c r="G19" s="13"/>
      <c r="H19" s="14">
        <f t="shared" si="0"/>
        <v>0</v>
      </c>
      <c r="I19" s="15"/>
      <c r="J19" s="15"/>
      <c r="K19" s="1"/>
      <c r="L19" s="1"/>
      <c r="M19" s="1"/>
      <c r="N19" s="1"/>
      <c r="O19" s="1"/>
      <c r="P19" s="1"/>
      <c r="Q19" s="1"/>
      <c r="R19" s="1"/>
      <c r="S19" s="1"/>
      <c r="T19" s="1"/>
      <c r="U19" s="1"/>
      <c r="V19" s="1"/>
      <c r="W19" s="1"/>
      <c r="X19" s="1"/>
      <c r="Y19" s="1"/>
      <c r="Z19" s="1"/>
    </row>
    <row r="20" spans="1:26" ht="13.5" customHeight="1">
      <c r="A20" s="11">
        <v>45881</v>
      </c>
      <c r="B20" s="11" t="s">
        <v>13</v>
      </c>
      <c r="C20" s="12"/>
      <c r="D20" s="12"/>
      <c r="E20" s="12"/>
      <c r="F20" s="12"/>
      <c r="G20" s="13"/>
      <c r="H20" s="14">
        <f t="shared" si="0"/>
        <v>0</v>
      </c>
      <c r="I20" s="15"/>
      <c r="J20" s="15"/>
      <c r="K20" s="1"/>
      <c r="L20" s="1"/>
      <c r="M20" s="1"/>
      <c r="N20" s="1"/>
      <c r="O20" s="1"/>
      <c r="P20" s="1"/>
      <c r="Q20" s="1"/>
      <c r="R20" s="1"/>
      <c r="S20" s="1"/>
      <c r="T20" s="1"/>
      <c r="U20" s="1"/>
      <c r="V20" s="1"/>
      <c r="W20" s="1"/>
      <c r="X20" s="1"/>
      <c r="Y20" s="1"/>
      <c r="Z20" s="1"/>
    </row>
    <row r="21" spans="1:26" ht="13.5" customHeight="1">
      <c r="A21" s="11">
        <v>45882</v>
      </c>
      <c r="B21" s="11" t="s">
        <v>19</v>
      </c>
      <c r="C21" s="12"/>
      <c r="D21" s="12"/>
      <c r="E21" s="12"/>
      <c r="F21" s="12"/>
      <c r="G21" s="13"/>
      <c r="H21" s="14">
        <f t="shared" si="0"/>
        <v>0</v>
      </c>
      <c r="I21" s="15"/>
      <c r="J21" s="15"/>
      <c r="K21" s="1"/>
      <c r="L21" s="1"/>
      <c r="M21" s="1"/>
      <c r="N21" s="1"/>
      <c r="O21" s="1"/>
      <c r="P21" s="1"/>
      <c r="Q21" s="1"/>
      <c r="R21" s="1"/>
      <c r="S21" s="1"/>
      <c r="T21" s="1"/>
      <c r="U21" s="1"/>
      <c r="V21" s="1"/>
      <c r="W21" s="1"/>
      <c r="X21" s="1"/>
      <c r="Y21" s="1"/>
      <c r="Z21" s="1"/>
    </row>
    <row r="22" spans="1:26" ht="13.5" customHeight="1">
      <c r="A22" s="11">
        <v>45883</v>
      </c>
      <c r="B22" s="11" t="s">
        <v>20</v>
      </c>
      <c r="C22" s="12"/>
      <c r="D22" s="12"/>
      <c r="E22" s="12"/>
      <c r="F22" s="12"/>
      <c r="G22" s="13"/>
      <c r="H22" s="14">
        <f t="shared" si="0"/>
        <v>0</v>
      </c>
      <c r="I22" s="15"/>
      <c r="J22" s="15"/>
      <c r="K22" s="1"/>
      <c r="L22" s="1"/>
      <c r="M22" s="1"/>
      <c r="N22" s="1"/>
      <c r="O22" s="1"/>
      <c r="P22" s="1"/>
      <c r="Q22" s="1"/>
      <c r="R22" s="1"/>
      <c r="S22" s="1"/>
      <c r="T22" s="1"/>
      <c r="U22" s="1"/>
      <c r="V22" s="1"/>
      <c r="W22" s="1"/>
      <c r="X22" s="1"/>
      <c r="Y22" s="1"/>
      <c r="Z22" s="1"/>
    </row>
    <row r="23" spans="1:26" ht="13.5" customHeight="1">
      <c r="A23" s="11">
        <v>45884</v>
      </c>
      <c r="B23" s="11" t="s">
        <v>21</v>
      </c>
      <c r="C23" s="12"/>
      <c r="D23" s="12"/>
      <c r="E23" s="12"/>
      <c r="F23" s="12"/>
      <c r="G23" s="13"/>
      <c r="H23" s="14">
        <f t="shared" si="0"/>
        <v>0</v>
      </c>
      <c r="I23" s="15"/>
      <c r="J23" s="15"/>
      <c r="K23" s="1"/>
      <c r="L23" s="1"/>
      <c r="M23" s="1"/>
      <c r="N23" s="1"/>
      <c r="O23" s="1"/>
      <c r="P23" s="1"/>
      <c r="Q23" s="1"/>
      <c r="R23" s="1"/>
      <c r="S23" s="1"/>
      <c r="T23" s="1"/>
      <c r="U23" s="1"/>
      <c r="V23" s="1"/>
      <c r="W23" s="1"/>
      <c r="X23" s="1"/>
      <c r="Y23" s="1"/>
      <c r="Z23" s="1"/>
    </row>
    <row r="24" spans="1:26" ht="13.5" customHeight="1">
      <c r="A24" s="16">
        <v>45885</v>
      </c>
      <c r="B24" s="16" t="s">
        <v>22</v>
      </c>
      <c r="C24" s="17"/>
      <c r="D24" s="17"/>
      <c r="E24" s="17"/>
      <c r="F24" s="17"/>
      <c r="G24" s="18"/>
      <c r="H24" s="19">
        <f t="shared" si="0"/>
        <v>0</v>
      </c>
      <c r="I24" s="20"/>
      <c r="J24" s="20"/>
      <c r="K24" s="1"/>
      <c r="L24" s="1"/>
      <c r="M24" s="1"/>
      <c r="N24" s="1"/>
      <c r="O24" s="1"/>
      <c r="P24" s="1"/>
      <c r="Q24" s="1"/>
      <c r="R24" s="1"/>
      <c r="S24" s="1"/>
      <c r="T24" s="1"/>
      <c r="U24" s="1"/>
      <c r="V24" s="1"/>
      <c r="W24" s="1"/>
      <c r="X24" s="1"/>
      <c r="Y24" s="1"/>
      <c r="Z24" s="1"/>
    </row>
    <row r="25" spans="1:26" ht="13.5" customHeight="1">
      <c r="A25" s="16">
        <v>45886</v>
      </c>
      <c r="B25" s="16" t="s">
        <v>23</v>
      </c>
      <c r="C25" s="17"/>
      <c r="D25" s="17"/>
      <c r="E25" s="17"/>
      <c r="F25" s="17"/>
      <c r="G25" s="18"/>
      <c r="H25" s="19">
        <f t="shared" si="0"/>
        <v>0</v>
      </c>
      <c r="I25" s="20"/>
      <c r="J25" s="20"/>
      <c r="K25" s="1"/>
      <c r="L25" s="1"/>
      <c r="M25" s="1"/>
      <c r="N25" s="1"/>
      <c r="O25" s="1"/>
      <c r="P25" s="1"/>
      <c r="Q25" s="1"/>
      <c r="R25" s="1"/>
      <c r="S25" s="1"/>
      <c r="T25" s="1"/>
      <c r="U25" s="1"/>
      <c r="V25" s="1"/>
      <c r="W25" s="1"/>
      <c r="X25" s="1"/>
      <c r="Y25" s="1"/>
      <c r="Z25" s="1"/>
    </row>
    <row r="26" spans="1:26" ht="13.5" customHeight="1">
      <c r="A26" s="11">
        <v>45887</v>
      </c>
      <c r="B26" s="11" t="s">
        <v>24</v>
      </c>
      <c r="C26" s="12"/>
      <c r="D26" s="12"/>
      <c r="E26" s="12"/>
      <c r="F26" s="12"/>
      <c r="G26" s="13"/>
      <c r="H26" s="14">
        <f t="shared" si="0"/>
        <v>0</v>
      </c>
      <c r="I26" s="15"/>
      <c r="J26" s="15"/>
      <c r="K26" s="1"/>
      <c r="L26" s="1"/>
      <c r="M26" s="1"/>
      <c r="N26" s="1"/>
      <c r="O26" s="1"/>
      <c r="P26" s="1"/>
      <c r="Q26" s="1"/>
      <c r="R26" s="1"/>
      <c r="S26" s="1"/>
      <c r="T26" s="1"/>
      <c r="U26" s="1"/>
      <c r="V26" s="1"/>
      <c r="W26" s="1"/>
      <c r="X26" s="1"/>
      <c r="Y26" s="1"/>
      <c r="Z26" s="1"/>
    </row>
    <row r="27" spans="1:26" ht="13.5" customHeight="1">
      <c r="A27" s="11">
        <v>45888</v>
      </c>
      <c r="B27" s="11" t="s">
        <v>13</v>
      </c>
      <c r="C27" s="12"/>
      <c r="D27" s="12"/>
      <c r="E27" s="12"/>
      <c r="F27" s="12"/>
      <c r="G27" s="13"/>
      <c r="H27" s="14">
        <f t="shared" si="0"/>
        <v>0</v>
      </c>
      <c r="I27" s="15"/>
      <c r="J27" s="15"/>
      <c r="K27" s="1"/>
      <c r="L27" s="1"/>
      <c r="M27" s="1"/>
      <c r="N27" s="1"/>
      <c r="O27" s="1"/>
      <c r="P27" s="1"/>
      <c r="Q27" s="1"/>
      <c r="R27" s="1"/>
      <c r="S27" s="1"/>
      <c r="T27" s="1"/>
      <c r="U27" s="1"/>
      <c r="V27" s="1"/>
      <c r="W27" s="1"/>
      <c r="X27" s="1"/>
      <c r="Y27" s="1"/>
      <c r="Z27" s="1"/>
    </row>
    <row r="28" spans="1:26" ht="13.5" customHeight="1">
      <c r="A28" s="11">
        <v>45889</v>
      </c>
      <c r="B28" s="11" t="s">
        <v>19</v>
      </c>
      <c r="C28" s="12"/>
      <c r="D28" s="12"/>
      <c r="E28" s="12"/>
      <c r="F28" s="12"/>
      <c r="G28" s="13"/>
      <c r="H28" s="14">
        <f t="shared" si="0"/>
        <v>0</v>
      </c>
      <c r="I28" s="15"/>
      <c r="J28" s="15"/>
      <c r="K28" s="1"/>
      <c r="L28" s="1"/>
      <c r="M28" s="1"/>
      <c r="N28" s="1"/>
      <c r="O28" s="1"/>
      <c r="P28" s="1"/>
      <c r="Q28" s="1"/>
      <c r="R28" s="1"/>
      <c r="S28" s="1"/>
      <c r="T28" s="1"/>
      <c r="U28" s="1"/>
      <c r="V28" s="1"/>
      <c r="W28" s="1"/>
      <c r="X28" s="1"/>
      <c r="Y28" s="1"/>
      <c r="Z28" s="1"/>
    </row>
    <row r="29" spans="1:26" ht="13.5" customHeight="1">
      <c r="A29" s="11">
        <v>45890</v>
      </c>
      <c r="B29" s="11" t="s">
        <v>20</v>
      </c>
      <c r="C29" s="12"/>
      <c r="D29" s="12"/>
      <c r="E29" s="12"/>
      <c r="F29" s="12"/>
      <c r="G29" s="13"/>
      <c r="H29" s="14">
        <f t="shared" si="0"/>
        <v>0</v>
      </c>
      <c r="I29" s="15"/>
      <c r="J29" s="15"/>
      <c r="K29" s="1"/>
      <c r="L29" s="1"/>
      <c r="M29" s="1"/>
      <c r="N29" s="1"/>
      <c r="O29" s="1"/>
      <c r="P29" s="1"/>
      <c r="Q29" s="1"/>
      <c r="R29" s="1"/>
      <c r="S29" s="1"/>
      <c r="T29" s="1"/>
      <c r="U29" s="1"/>
      <c r="V29" s="1"/>
      <c r="W29" s="1"/>
      <c r="X29" s="1"/>
      <c r="Y29" s="1"/>
      <c r="Z29" s="1"/>
    </row>
    <row r="30" spans="1:26" ht="13.5" customHeight="1">
      <c r="A30" s="11">
        <v>45891</v>
      </c>
      <c r="B30" s="11" t="s">
        <v>21</v>
      </c>
      <c r="C30" s="12"/>
      <c r="D30" s="12"/>
      <c r="E30" s="12"/>
      <c r="F30" s="12"/>
      <c r="G30" s="13"/>
      <c r="H30" s="14">
        <f t="shared" si="0"/>
        <v>0</v>
      </c>
      <c r="I30" s="15"/>
      <c r="J30" s="15"/>
      <c r="K30" s="1"/>
      <c r="L30" s="1"/>
      <c r="M30" s="1"/>
      <c r="N30" s="1"/>
      <c r="O30" s="1"/>
      <c r="P30" s="1"/>
      <c r="Q30" s="1"/>
      <c r="R30" s="1"/>
      <c r="S30" s="1"/>
      <c r="T30" s="1"/>
      <c r="U30" s="1"/>
      <c r="V30" s="1"/>
      <c r="W30" s="1"/>
      <c r="X30" s="1"/>
      <c r="Y30" s="1"/>
      <c r="Z30" s="1"/>
    </row>
    <row r="31" spans="1:26" ht="13.5" customHeight="1">
      <c r="A31" s="16">
        <v>45892</v>
      </c>
      <c r="B31" s="16" t="s">
        <v>22</v>
      </c>
      <c r="C31" s="17"/>
      <c r="D31" s="17"/>
      <c r="E31" s="17"/>
      <c r="F31" s="17"/>
      <c r="G31" s="18"/>
      <c r="H31" s="19">
        <f t="shared" si="0"/>
        <v>0</v>
      </c>
      <c r="I31" s="20"/>
      <c r="J31" s="20"/>
      <c r="K31" s="1"/>
      <c r="L31" s="1"/>
      <c r="M31" s="1"/>
      <c r="N31" s="1"/>
      <c r="O31" s="1"/>
      <c r="P31" s="1"/>
      <c r="Q31" s="1"/>
      <c r="R31" s="1"/>
      <c r="S31" s="1"/>
      <c r="T31" s="1"/>
      <c r="U31" s="1"/>
      <c r="V31" s="1"/>
      <c r="W31" s="1"/>
      <c r="X31" s="1"/>
      <c r="Y31" s="1"/>
      <c r="Z31" s="1"/>
    </row>
    <row r="32" spans="1:26" ht="13.5" customHeight="1">
      <c r="A32" s="16">
        <v>45893</v>
      </c>
      <c r="B32" s="16" t="s">
        <v>23</v>
      </c>
      <c r="C32" s="17"/>
      <c r="D32" s="17"/>
      <c r="E32" s="17"/>
      <c r="F32" s="17"/>
      <c r="G32" s="18"/>
      <c r="H32" s="19">
        <f t="shared" si="0"/>
        <v>0</v>
      </c>
      <c r="I32" s="20"/>
      <c r="J32" s="20"/>
      <c r="K32" s="1"/>
      <c r="L32" s="1"/>
      <c r="M32" s="1"/>
      <c r="N32" s="1"/>
      <c r="O32" s="1"/>
      <c r="P32" s="1"/>
      <c r="Q32" s="1"/>
      <c r="R32" s="1"/>
      <c r="S32" s="1"/>
      <c r="T32" s="1"/>
      <c r="U32" s="1"/>
      <c r="V32" s="1"/>
      <c r="W32" s="1"/>
      <c r="X32" s="1"/>
      <c r="Y32" s="1"/>
      <c r="Z32" s="1"/>
    </row>
    <row r="33" spans="1:26" ht="13.5" customHeight="1">
      <c r="A33" s="11">
        <v>45894</v>
      </c>
      <c r="B33" s="11" t="s">
        <v>24</v>
      </c>
      <c r="C33" s="12"/>
      <c r="D33" s="12"/>
      <c r="E33" s="12"/>
      <c r="F33" s="12"/>
      <c r="G33" s="13"/>
      <c r="H33" s="14">
        <f t="shared" si="0"/>
        <v>0</v>
      </c>
      <c r="I33" s="15"/>
      <c r="J33" s="15"/>
      <c r="K33" s="1"/>
      <c r="L33" s="1"/>
      <c r="M33" s="1"/>
      <c r="N33" s="1"/>
      <c r="O33" s="1"/>
      <c r="P33" s="1"/>
      <c r="Q33" s="1"/>
      <c r="R33" s="1"/>
      <c r="S33" s="1"/>
      <c r="T33" s="1"/>
      <c r="U33" s="1"/>
      <c r="V33" s="1"/>
      <c r="W33" s="1"/>
      <c r="X33" s="1"/>
      <c r="Y33" s="1"/>
      <c r="Z33" s="1"/>
    </row>
    <row r="34" spans="1:26" ht="13.5" customHeight="1">
      <c r="A34" s="11">
        <v>45895</v>
      </c>
      <c r="B34" s="11" t="s">
        <v>13</v>
      </c>
      <c r="C34" s="12"/>
      <c r="D34" s="12"/>
      <c r="E34" s="12"/>
      <c r="F34" s="12"/>
      <c r="G34" s="13"/>
      <c r="H34" s="14">
        <f t="shared" si="0"/>
        <v>0</v>
      </c>
      <c r="I34" s="15"/>
      <c r="J34" s="15"/>
      <c r="K34" s="1"/>
      <c r="L34" s="1"/>
      <c r="M34" s="1"/>
      <c r="N34" s="1"/>
      <c r="O34" s="1"/>
      <c r="P34" s="1"/>
      <c r="Q34" s="1"/>
      <c r="R34" s="1"/>
      <c r="S34" s="1"/>
      <c r="T34" s="1"/>
      <c r="U34" s="1"/>
      <c r="V34" s="1"/>
      <c r="W34" s="1"/>
      <c r="X34" s="1"/>
      <c r="Y34" s="1"/>
      <c r="Z34" s="1"/>
    </row>
    <row r="35" spans="1:26" ht="13.5" customHeight="1">
      <c r="A35" s="11">
        <v>45896</v>
      </c>
      <c r="B35" s="11" t="s">
        <v>19</v>
      </c>
      <c r="C35" s="12"/>
      <c r="D35" s="12"/>
      <c r="E35" s="12"/>
      <c r="F35" s="12"/>
      <c r="G35" s="13"/>
      <c r="H35" s="14">
        <f t="shared" si="0"/>
        <v>0</v>
      </c>
      <c r="I35" s="15"/>
      <c r="J35" s="15"/>
      <c r="K35" s="1"/>
      <c r="L35" s="1"/>
      <c r="M35" s="1"/>
      <c r="N35" s="1"/>
      <c r="O35" s="1"/>
      <c r="P35" s="1"/>
      <c r="Q35" s="1"/>
      <c r="R35" s="1"/>
      <c r="S35" s="1"/>
      <c r="T35" s="1"/>
      <c r="U35" s="1"/>
      <c r="V35" s="1"/>
      <c r="W35" s="1"/>
      <c r="X35" s="1"/>
      <c r="Y35" s="1"/>
      <c r="Z35" s="1"/>
    </row>
    <row r="36" spans="1:26" ht="13.5" customHeight="1">
      <c r="A36" s="11">
        <v>45897</v>
      </c>
      <c r="B36" s="11" t="s">
        <v>20</v>
      </c>
      <c r="C36" s="12"/>
      <c r="D36" s="12"/>
      <c r="E36" s="12"/>
      <c r="F36" s="12"/>
      <c r="G36" s="13"/>
      <c r="H36" s="14">
        <f t="shared" si="0"/>
        <v>0</v>
      </c>
      <c r="I36" s="15"/>
      <c r="J36" s="15"/>
      <c r="K36" s="1"/>
      <c r="L36" s="1"/>
      <c r="M36" s="1"/>
      <c r="N36" s="1"/>
      <c r="O36" s="1"/>
      <c r="P36" s="1"/>
      <c r="Q36" s="1"/>
      <c r="R36" s="1"/>
      <c r="S36" s="1"/>
      <c r="T36" s="1"/>
      <c r="U36" s="1"/>
      <c r="V36" s="1"/>
      <c r="W36" s="1"/>
      <c r="X36" s="1"/>
      <c r="Y36" s="1"/>
      <c r="Z36" s="1"/>
    </row>
    <row r="37" spans="1:26" ht="13.5" customHeight="1">
      <c r="A37" s="11">
        <v>45898</v>
      </c>
      <c r="B37" s="11" t="s">
        <v>21</v>
      </c>
      <c r="C37" s="12"/>
      <c r="D37" s="12"/>
      <c r="E37" s="12"/>
      <c r="F37" s="12"/>
      <c r="G37" s="13"/>
      <c r="H37" s="14">
        <f t="shared" si="0"/>
        <v>0</v>
      </c>
      <c r="I37" s="15"/>
      <c r="J37" s="15"/>
      <c r="K37" s="1"/>
      <c r="L37" s="1"/>
      <c r="M37" s="1"/>
      <c r="N37" s="1"/>
      <c r="O37" s="1"/>
      <c r="P37" s="1"/>
      <c r="Q37" s="1"/>
      <c r="R37" s="1"/>
      <c r="S37" s="1"/>
      <c r="T37" s="1"/>
      <c r="U37" s="1"/>
      <c r="V37" s="1"/>
      <c r="W37" s="1"/>
      <c r="X37" s="1"/>
      <c r="Y37" s="1"/>
      <c r="Z37" s="1"/>
    </row>
    <row r="38" spans="1:26" ht="13.5" customHeight="1">
      <c r="A38" s="16">
        <v>45899</v>
      </c>
      <c r="B38" s="16" t="s">
        <v>22</v>
      </c>
      <c r="C38" s="17"/>
      <c r="D38" s="17"/>
      <c r="E38" s="17"/>
      <c r="F38" s="17"/>
      <c r="G38" s="18"/>
      <c r="H38" s="19">
        <f t="shared" si="0"/>
        <v>0</v>
      </c>
      <c r="I38" s="20"/>
      <c r="J38" s="20"/>
      <c r="K38" s="1"/>
      <c r="L38" s="1"/>
      <c r="M38" s="1"/>
      <c r="N38" s="1"/>
      <c r="O38" s="1"/>
      <c r="P38" s="1"/>
      <c r="Q38" s="1"/>
      <c r="R38" s="1"/>
      <c r="S38" s="1"/>
      <c r="T38" s="1"/>
      <c r="U38" s="1"/>
      <c r="V38" s="1"/>
      <c r="W38" s="1"/>
      <c r="X38" s="1"/>
      <c r="Y38" s="1"/>
      <c r="Z38" s="1"/>
    </row>
    <row r="39" spans="1:26" ht="13.5" customHeight="1">
      <c r="A39" s="16">
        <v>45900</v>
      </c>
      <c r="B39" s="16" t="s">
        <v>23</v>
      </c>
      <c r="C39" s="17"/>
      <c r="D39" s="17"/>
      <c r="E39" s="17"/>
      <c r="F39" s="17"/>
      <c r="G39" s="18"/>
      <c r="H39" s="19">
        <f t="shared" si="0"/>
        <v>0</v>
      </c>
      <c r="I39" s="20"/>
      <c r="J39" s="20"/>
      <c r="K39" s="1"/>
      <c r="L39" s="1"/>
      <c r="M39" s="1"/>
      <c r="N39" s="1"/>
      <c r="O39" s="1"/>
      <c r="P39" s="1"/>
      <c r="Q39" s="1"/>
      <c r="R39" s="1"/>
      <c r="S39" s="1"/>
      <c r="T39" s="1"/>
      <c r="U39" s="1"/>
      <c r="V39" s="1"/>
      <c r="W39" s="1"/>
      <c r="X39" s="1"/>
      <c r="Y39" s="1"/>
      <c r="Z39" s="1"/>
    </row>
    <row r="40" spans="1:26" ht="13.5" customHeight="1">
      <c r="A40" s="5"/>
      <c r="B40" s="50"/>
      <c r="C40" s="50"/>
      <c r="D40" s="50"/>
      <c r="E40" s="50"/>
      <c r="F40" s="50"/>
      <c r="G40" s="50"/>
      <c r="H40" s="51"/>
      <c r="I40" s="2"/>
      <c r="J40" s="1"/>
      <c r="K40" s="1"/>
      <c r="L40" s="1"/>
      <c r="M40" s="1"/>
      <c r="N40" s="1"/>
      <c r="O40" s="1"/>
      <c r="P40" s="1"/>
      <c r="Q40" s="1"/>
      <c r="R40" s="1"/>
      <c r="S40" s="1"/>
      <c r="T40" s="1"/>
      <c r="U40" s="1"/>
      <c r="V40" s="1"/>
      <c r="W40" s="1"/>
      <c r="X40" s="1"/>
      <c r="Y40" s="1"/>
      <c r="Z40" s="1"/>
    </row>
    <row r="41" spans="1:26" ht="13.5" customHeight="1">
      <c r="A41" s="28"/>
      <c r="B41" s="28"/>
      <c r="C41" s="29"/>
      <c r="D41" s="30"/>
      <c r="E41" s="31" t="s">
        <v>159</v>
      </c>
      <c r="F41" s="32">
        <v>168</v>
      </c>
      <c r="G41" s="1"/>
      <c r="H41" s="3"/>
      <c r="I41" s="1"/>
      <c r="J41" s="1"/>
      <c r="K41" s="1"/>
      <c r="L41" s="1"/>
      <c r="M41" s="1"/>
      <c r="N41" s="1"/>
      <c r="O41" s="1"/>
      <c r="P41" s="1"/>
      <c r="Q41" s="1"/>
      <c r="R41" s="1"/>
      <c r="S41" s="1"/>
      <c r="T41" s="1"/>
      <c r="U41" s="1"/>
      <c r="V41" s="1"/>
      <c r="W41" s="1"/>
      <c r="X41" s="1"/>
      <c r="Y41" s="1"/>
      <c r="Z41" s="1"/>
    </row>
    <row r="42" spans="1:26" ht="13.5" customHeight="1">
      <c r="A42" s="28"/>
      <c r="B42" s="28"/>
      <c r="C42" s="33"/>
      <c r="D42" s="34"/>
      <c r="E42" s="35" t="s">
        <v>160</v>
      </c>
      <c r="F42" s="127">
        <v>21</v>
      </c>
      <c r="G42" s="1"/>
      <c r="H42" s="3"/>
      <c r="I42" s="1"/>
      <c r="J42" s="1"/>
      <c r="K42" s="1"/>
      <c r="L42" s="1"/>
      <c r="M42" s="1"/>
      <c r="N42" s="1"/>
      <c r="O42" s="1"/>
      <c r="P42" s="1"/>
      <c r="Q42" s="1"/>
      <c r="R42" s="1"/>
      <c r="S42" s="1"/>
      <c r="T42" s="1"/>
      <c r="U42" s="1"/>
      <c r="V42" s="1"/>
      <c r="W42" s="1"/>
      <c r="X42" s="1"/>
      <c r="Y42" s="1"/>
      <c r="Z42" s="1"/>
    </row>
    <row r="43" spans="1:26" ht="13.5" customHeight="1">
      <c r="A43" s="136" t="s">
        <v>161</v>
      </c>
      <c r="B43" s="137"/>
      <c r="C43" s="137"/>
      <c r="D43" s="36"/>
      <c r="E43" s="34"/>
      <c r="F43" s="34"/>
      <c r="G43" s="1"/>
      <c r="H43" s="3"/>
      <c r="I43" s="1"/>
      <c r="J43" s="1"/>
      <c r="K43" s="1"/>
      <c r="L43" s="1"/>
      <c r="M43" s="1"/>
      <c r="N43" s="1"/>
      <c r="O43" s="1"/>
      <c r="P43" s="1"/>
      <c r="Q43" s="1"/>
      <c r="R43" s="1"/>
      <c r="S43" s="1"/>
      <c r="T43" s="1"/>
      <c r="U43" s="1"/>
      <c r="V43" s="1"/>
      <c r="W43" s="1"/>
      <c r="X43" s="1"/>
      <c r="Y43" s="1"/>
      <c r="Z43" s="1"/>
    </row>
    <row r="44" spans="1:26" ht="13.5" customHeight="1">
      <c r="A44" s="37"/>
      <c r="B44" s="37"/>
      <c r="C44" s="30"/>
      <c r="D44" s="30"/>
      <c r="E44" s="38" t="s">
        <v>162</v>
      </c>
      <c r="F44" s="39">
        <f>SUMIF(F9:F39,"Billable",H9:H39)</f>
        <v>0.33333333333333331</v>
      </c>
      <c r="G44" s="1"/>
      <c r="H44" s="40"/>
      <c r="I44" s="1"/>
      <c r="J44" s="1"/>
      <c r="K44" s="1"/>
      <c r="L44" s="1"/>
      <c r="M44" s="1"/>
      <c r="N44" s="1"/>
      <c r="O44" s="1"/>
      <c r="P44" s="1"/>
      <c r="Q44" s="1"/>
      <c r="R44" s="1"/>
      <c r="S44" s="1"/>
      <c r="T44" s="1"/>
      <c r="U44" s="1"/>
      <c r="V44" s="1"/>
      <c r="W44" s="1"/>
      <c r="X44" s="1"/>
      <c r="Y44" s="1"/>
      <c r="Z44" s="1"/>
    </row>
    <row r="45" spans="1:26" ht="15" customHeight="1">
      <c r="A45" s="138" t="s">
        <v>163</v>
      </c>
      <c r="B45" s="137"/>
      <c r="C45" s="137"/>
      <c r="D45" s="41"/>
      <c r="E45" s="128" t="s">
        <v>164</v>
      </c>
      <c r="F45" s="42">
        <f>SUMIF(F9:F39,"Non-Billable",H9:H39)</f>
        <v>0</v>
      </c>
      <c r="G45" s="1"/>
      <c r="H45" s="3"/>
      <c r="I45" s="1"/>
      <c r="J45" s="1"/>
      <c r="K45" s="1"/>
      <c r="L45" s="1"/>
      <c r="M45" s="1"/>
      <c r="N45" s="1"/>
      <c r="O45" s="1"/>
      <c r="P45" s="1"/>
      <c r="Q45" s="1"/>
      <c r="R45" s="1"/>
      <c r="S45" s="1"/>
      <c r="T45" s="1"/>
      <c r="U45" s="1"/>
      <c r="V45" s="1"/>
      <c r="W45" s="1"/>
      <c r="X45" s="1"/>
      <c r="Y45" s="1"/>
      <c r="Z45" s="1"/>
    </row>
    <row r="46" spans="1:26" ht="13.5" customHeight="1">
      <c r="A46" s="34"/>
      <c r="B46" s="34"/>
      <c r="C46" s="34"/>
      <c r="D46" s="34"/>
      <c r="E46" s="43" t="s">
        <v>165</v>
      </c>
      <c r="F46" s="44">
        <f>F44+F45</f>
        <v>0.33333333333333331</v>
      </c>
      <c r="G46" s="1"/>
      <c r="H46" s="3"/>
      <c r="I46" s="1"/>
      <c r="J46" s="1"/>
      <c r="K46" s="1"/>
      <c r="L46" s="1"/>
      <c r="M46" s="1"/>
      <c r="N46" s="1"/>
      <c r="O46" s="1"/>
      <c r="P46" s="1"/>
      <c r="Q46" s="1"/>
      <c r="R46" s="1"/>
      <c r="S46" s="1"/>
      <c r="T46" s="1"/>
      <c r="U46" s="1"/>
      <c r="V46" s="1"/>
      <c r="W46" s="1"/>
      <c r="X46" s="1"/>
      <c r="Y46" s="1"/>
      <c r="Z46" s="1"/>
    </row>
    <row r="47" spans="1:26" ht="13.5" customHeight="1">
      <c r="A47" s="34"/>
      <c r="B47" s="34"/>
      <c r="C47" s="34"/>
      <c r="D47" s="34"/>
      <c r="E47" s="34"/>
      <c r="F47" s="34"/>
      <c r="G47" s="1"/>
      <c r="H47" s="3"/>
      <c r="I47" s="1"/>
      <c r="J47" s="1"/>
      <c r="K47" s="1"/>
      <c r="L47" s="1"/>
      <c r="M47" s="1"/>
      <c r="N47" s="1"/>
      <c r="O47" s="1"/>
      <c r="P47" s="1"/>
      <c r="Q47" s="1"/>
      <c r="R47" s="1"/>
      <c r="S47" s="1"/>
      <c r="T47" s="1"/>
      <c r="U47" s="1"/>
      <c r="V47" s="1"/>
      <c r="W47" s="1"/>
      <c r="X47" s="1"/>
      <c r="Y47" s="1"/>
      <c r="Z47" s="1"/>
    </row>
    <row r="48" spans="1:26" ht="13.5" customHeight="1">
      <c r="A48" s="34"/>
      <c r="B48" s="34"/>
      <c r="C48" s="34"/>
      <c r="D48" s="34"/>
      <c r="E48" s="45" t="s">
        <v>166</v>
      </c>
      <c r="F48" s="46"/>
      <c r="G48" s="1"/>
      <c r="H48" s="3"/>
      <c r="I48" s="1"/>
      <c r="J48" s="1"/>
      <c r="K48" s="1"/>
      <c r="L48" s="1"/>
      <c r="M48" s="1"/>
      <c r="N48" s="1"/>
      <c r="O48" s="1"/>
      <c r="P48" s="1"/>
      <c r="Q48" s="1"/>
      <c r="R48" s="1"/>
      <c r="S48" s="1"/>
      <c r="T48" s="1"/>
      <c r="U48" s="1"/>
      <c r="V48" s="1"/>
      <c r="W48" s="1"/>
      <c r="X48" s="1"/>
      <c r="Y48" s="1"/>
      <c r="Z48" s="1"/>
    </row>
    <row r="49" spans="1:26" ht="13.5" customHeight="1">
      <c r="A49" s="1"/>
      <c r="B49" s="1"/>
      <c r="C49" s="1"/>
      <c r="D49" s="1"/>
      <c r="E49" s="47"/>
      <c r="F49" s="1"/>
      <c r="G49" s="1"/>
      <c r="H49" s="3"/>
      <c r="I49" s="1"/>
      <c r="J49" s="1"/>
      <c r="K49" s="1"/>
      <c r="L49" s="1"/>
      <c r="M49" s="1"/>
      <c r="N49" s="1"/>
      <c r="O49" s="1"/>
      <c r="P49" s="1"/>
      <c r="Q49" s="1"/>
      <c r="R49" s="1"/>
      <c r="S49" s="1"/>
      <c r="T49" s="1"/>
      <c r="U49" s="1"/>
      <c r="V49" s="1"/>
      <c r="W49" s="1"/>
      <c r="X49" s="1"/>
      <c r="Y49" s="1"/>
      <c r="Z49" s="1"/>
    </row>
    <row r="50" spans="1:26"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43:C43"/>
    <mergeCell ref="A45:C45"/>
  </mergeCells>
  <conditionalFormatting sqref="A6:B6 D6:E7">
    <cfRule type="containsText" dxfId="31" priority="1" operator="containsText" text="Religious Leave">
      <formula>NOT(ISERROR(SEARCH(("Religious Leave"),(A6))))</formula>
    </cfRule>
    <cfRule type="containsText" dxfId="30" priority="2" operator="containsText" text="Birthday Leave">
      <formula>NOT(ISERROR(SEARCH(("Birthday Leave"),(A6))))</formula>
    </cfRule>
    <cfRule type="containsText" dxfId="29" priority="3" operator="containsText" text="Study Leave">
      <formula>NOT(ISERROR(SEARCH(("Study Leave"),(A6))))</formula>
    </cfRule>
    <cfRule type="containsText" dxfId="28" priority="4" operator="containsText" text="Family Responsibility Leave">
      <formula>NOT(ISERROR(SEARCH(("Family Responsibility Leave"),(A6))))</formula>
    </cfRule>
    <cfRule type="containsText" dxfId="27" priority="5" operator="containsText" text="Sick Leave">
      <formula>NOT(ISERROR(SEARCH(("Sick Leave"),(A6))))</formula>
    </cfRule>
    <cfRule type="containsText" dxfId="26" priority="6" operator="containsText" text="Annual Leave">
      <formula>NOT(ISERROR(SEARCH(("Annual Leave"),(A6))))</formula>
    </cfRule>
    <cfRule type="cellIs" dxfId="25" priority="7" operator="equal">
      <formula>"Public Holiday"</formula>
    </cfRule>
  </conditionalFormatting>
  <conditionalFormatting sqref="B7:B49">
    <cfRule type="containsText" dxfId="24" priority="8" operator="containsText" text="Saturday">
      <formula>NOT(ISERROR(SEARCH(("Saturday"),(B7))))</formula>
    </cfRule>
    <cfRule type="containsText" dxfId="23" priority="9" operator="containsText" text="Sunday">
      <formula>NOT(ISERROR(SEARCH(("Sunday"),(B7))))</formula>
    </cfRule>
  </conditionalFormatting>
  <conditionalFormatting sqref="D40:E41 D43:E45 E48">
    <cfRule type="containsText" dxfId="22" priority="10" operator="containsText" text="Religious Leave">
      <formula>NOT(ISERROR(SEARCH(("Religious Leave"),(D40))))</formula>
    </cfRule>
    <cfRule type="containsText" dxfId="21" priority="11" operator="containsText" text="Birthday Leave">
      <formula>NOT(ISERROR(SEARCH(("Birthday Leave"),(D40))))</formula>
    </cfRule>
    <cfRule type="containsText" dxfId="20" priority="12" operator="containsText" text="Study Leave">
      <formula>NOT(ISERROR(SEARCH(("Study Leave"),(D40))))</formula>
    </cfRule>
    <cfRule type="containsText" dxfId="19" priority="13" operator="containsText" text="Family Responsibility Leave">
      <formula>NOT(ISERROR(SEARCH(("Family Responsibility Leave"),(D40))))</formula>
    </cfRule>
    <cfRule type="containsText" dxfId="18" priority="14" operator="containsText" text="Sick Leave">
      <formula>NOT(ISERROR(SEARCH(("Sick Leave"),(D40))))</formula>
    </cfRule>
    <cfRule type="containsText" dxfId="17" priority="15" operator="containsText" text="Annual Leave">
      <formula>NOT(ISERROR(SEARCH(("Annual Leave"),(D40))))</formula>
    </cfRule>
    <cfRule type="cellIs" dxfId="16" priority="16" operator="equal">
      <formula>"Public Holiday"</formula>
    </cfRule>
  </conditionalFormatting>
  <dataValidations count="1">
    <dataValidation type="custom" allowBlank="1" showInputMessage="1" showErrorMessage="1" prompt="Invlaid Time Format - Please input a valid time. For e.g. 08:00" sqref="I9:J39" xr:uid="{00000000-0002-0000-0400-000002000000}">
      <formula1>AND(GTE(I9,MIN((0),(0.999988425925926))),LTE(I9,MAX((0),(0.999988425925926))))</formula1>
    </dataValidation>
  </dataValidations>
  <pageMargins left="0.7" right="0.7" top="0.75" bottom="0.75" header="0" footer="0"/>
  <pageSetup paperSize="9" scale="75" orientation="portrait"/>
  <headerFooter>
    <oddFooter>&amp;L_x000D_#000000 Classified as Confidential</oddFooter>
  </headerFooter>
  <drawing r:id="rId1"/>
  <extLst>
    <ext xmlns:x14="http://schemas.microsoft.com/office/spreadsheetml/2009/9/main" uri="{CCE6A557-97BC-4b89-ADB6-D9C93CAAB3DF}">
      <x14:dataValidations xmlns:xm="http://schemas.microsoft.com/office/excel/2006/main" count="4">
        <x14:dataValidation type="list" allowBlank="1" showErrorMessage="1" xr:uid="{00000000-0002-0000-0400-000000000000}">
          <x14:formula1>
            <xm:f>Key!$K$3:$K$4</xm:f>
          </x14:formula1>
          <xm:sqref>F9:F39</xm:sqref>
        </x14:dataValidation>
        <x14:dataValidation type="list" allowBlank="1" showErrorMessage="1" xr:uid="{00000000-0002-0000-0400-000001000000}">
          <x14:formula1>
            <xm:f>Key!$H$3:$H$80</xm:f>
          </x14:formula1>
          <xm:sqref>B5</xm:sqref>
        </x14:dataValidation>
        <x14:dataValidation type="list" allowBlank="1" showErrorMessage="1" xr:uid="{00000000-0002-0000-0400-000003000000}">
          <x14:formula1>
            <xm:f>Key!$B$2:$B$48</xm:f>
          </x14:formula1>
          <xm:sqref>C9:C39</xm:sqref>
        </x14:dataValidation>
        <x14:dataValidation type="list" allowBlank="1" showErrorMessage="1" xr:uid="{00000000-0002-0000-0400-000004000000}">
          <x14:formula1>
            <xm:f>Key!$F$3:$F$54</xm:f>
          </x14:formula1>
          <xm:sqref>E9:E39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2.59765625" defaultRowHeight="15" customHeight="1"/>
  <cols>
    <col min="1" max="1" width="12" customWidth="1"/>
    <col min="2" max="2" width="13.09765625" customWidth="1"/>
    <col min="3" max="3" width="16.09765625" customWidth="1"/>
    <col min="4" max="5" width="20" customWidth="1"/>
    <col min="6" max="6" width="23.09765625" customWidth="1"/>
    <col min="7" max="7" width="34" customWidth="1"/>
    <col min="8" max="26" width="8.59765625" customWidth="1"/>
  </cols>
  <sheetData>
    <row r="1" spans="1:26" ht="13.5" customHeight="1">
      <c r="A1" s="1"/>
      <c r="B1" s="1"/>
      <c r="C1" s="1"/>
      <c r="D1" s="1"/>
      <c r="E1" s="1"/>
      <c r="F1" s="1"/>
      <c r="G1" s="1"/>
      <c r="H1" s="1"/>
      <c r="I1" s="1"/>
      <c r="J1" s="1"/>
      <c r="K1" s="1"/>
      <c r="L1" s="1"/>
      <c r="M1" s="1"/>
      <c r="N1" s="1"/>
      <c r="O1" s="1"/>
      <c r="P1" s="1"/>
      <c r="Q1" s="1"/>
      <c r="R1" s="1"/>
      <c r="S1" s="1"/>
      <c r="T1" s="1"/>
      <c r="U1" s="1"/>
      <c r="V1" s="1"/>
      <c r="W1" s="1"/>
      <c r="X1" s="1"/>
      <c r="Y1" s="1"/>
      <c r="Z1" s="1"/>
    </row>
    <row r="2" spans="1:26" ht="13.5" customHeight="1">
      <c r="A2" s="1"/>
      <c r="B2" s="1"/>
      <c r="C2" s="1"/>
      <c r="D2" s="1"/>
      <c r="E2" s="1"/>
      <c r="F2" s="1"/>
      <c r="G2" s="1"/>
      <c r="H2" s="1"/>
      <c r="I2" s="1"/>
      <c r="J2" s="1"/>
      <c r="K2" s="1"/>
      <c r="L2" s="1"/>
      <c r="M2" s="1"/>
      <c r="N2" s="1"/>
      <c r="O2" s="1"/>
      <c r="P2" s="1"/>
      <c r="Q2" s="1"/>
      <c r="R2" s="1"/>
      <c r="S2" s="1"/>
      <c r="T2" s="1"/>
      <c r="U2" s="1"/>
      <c r="V2" s="1"/>
      <c r="W2" s="1"/>
      <c r="X2" s="1"/>
      <c r="Y2" s="1"/>
      <c r="Z2" s="1"/>
    </row>
    <row r="3" spans="1:26" ht="13.5" customHeight="1">
      <c r="A3" s="1"/>
      <c r="B3" s="1"/>
      <c r="C3" s="1"/>
      <c r="D3" s="1"/>
      <c r="E3" s="1"/>
      <c r="F3" s="1"/>
      <c r="G3" s="1"/>
      <c r="H3" s="1"/>
      <c r="I3" s="1"/>
      <c r="J3" s="1"/>
      <c r="K3" s="1"/>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 t="s">
        <v>0</v>
      </c>
      <c r="B5" s="1" t="s">
        <v>15</v>
      </c>
      <c r="C5" s="2"/>
      <c r="D5" s="1"/>
      <c r="E5" s="1"/>
      <c r="F5" s="1"/>
      <c r="G5" s="1"/>
      <c r="H5" s="3"/>
      <c r="I5" s="1"/>
      <c r="J5" s="1"/>
      <c r="K5" s="1"/>
      <c r="L5" s="1"/>
      <c r="M5" s="1"/>
      <c r="N5" s="1"/>
      <c r="O5" s="1"/>
      <c r="P5" s="1"/>
      <c r="Q5" s="1"/>
      <c r="R5" s="1"/>
      <c r="S5" s="1"/>
      <c r="T5" s="1"/>
      <c r="U5" s="1"/>
      <c r="V5" s="1"/>
      <c r="W5" s="1"/>
      <c r="X5" s="1"/>
      <c r="Y5" s="1"/>
      <c r="Z5" s="1"/>
    </row>
    <row r="6" spans="1:26" ht="13.5" customHeight="1">
      <c r="A6" s="2" t="s">
        <v>2</v>
      </c>
      <c r="B6" s="126">
        <f>F43</f>
        <v>0.33333333333333331</v>
      </c>
      <c r="C6" s="2"/>
      <c r="D6" s="2"/>
      <c r="E6" s="2"/>
      <c r="F6" s="1"/>
      <c r="G6" s="1"/>
      <c r="H6" s="3"/>
      <c r="I6" s="1"/>
      <c r="J6" s="4"/>
      <c r="K6" s="1"/>
      <c r="L6" s="1"/>
      <c r="M6" s="1"/>
      <c r="N6" s="1"/>
      <c r="O6" s="1"/>
      <c r="P6" s="1"/>
      <c r="Q6" s="1"/>
      <c r="R6" s="1"/>
      <c r="S6" s="1"/>
      <c r="T6" s="1"/>
      <c r="U6" s="1"/>
      <c r="V6" s="1"/>
      <c r="W6" s="1"/>
      <c r="X6" s="1"/>
      <c r="Y6" s="1"/>
      <c r="Z6" s="1"/>
    </row>
    <row r="7" spans="1:26" ht="13.5" customHeight="1">
      <c r="A7" s="1"/>
      <c r="B7" s="1"/>
      <c r="C7" s="1"/>
      <c r="D7" s="1"/>
      <c r="E7" s="1"/>
      <c r="F7" s="1"/>
      <c r="G7" s="1"/>
      <c r="H7" s="3"/>
      <c r="I7" s="1"/>
      <c r="J7" s="1"/>
      <c r="K7" s="1"/>
      <c r="L7" s="1"/>
      <c r="M7" s="1"/>
      <c r="N7" s="1"/>
      <c r="O7" s="1"/>
      <c r="P7" s="1"/>
      <c r="Q7" s="1"/>
      <c r="R7" s="1"/>
      <c r="S7" s="1"/>
      <c r="T7" s="1"/>
      <c r="U7" s="1"/>
      <c r="V7" s="1"/>
      <c r="W7" s="1"/>
      <c r="X7" s="1"/>
      <c r="Y7" s="1"/>
      <c r="Z7" s="1"/>
    </row>
    <row r="8" spans="1:26" ht="13.5" customHeight="1">
      <c r="A8" s="6" t="s">
        <v>3</v>
      </c>
      <c r="B8" s="7" t="s">
        <v>4</v>
      </c>
      <c r="C8" s="7" t="s">
        <v>5</v>
      </c>
      <c r="D8" s="7" t="s">
        <v>6</v>
      </c>
      <c r="E8" s="7" t="s">
        <v>7</v>
      </c>
      <c r="F8" s="7" t="s">
        <v>8</v>
      </c>
      <c r="G8" s="8" t="s">
        <v>9</v>
      </c>
      <c r="H8" s="9" t="s">
        <v>10</v>
      </c>
      <c r="I8" s="9" t="s">
        <v>11</v>
      </c>
      <c r="J8" s="10" t="s">
        <v>12</v>
      </c>
      <c r="K8" s="1"/>
      <c r="L8" s="1"/>
      <c r="M8" s="1"/>
      <c r="N8" s="1"/>
      <c r="O8" s="1"/>
      <c r="P8" s="1"/>
      <c r="Q8" s="1"/>
      <c r="R8" s="1"/>
      <c r="S8" s="1"/>
      <c r="T8" s="1"/>
      <c r="U8" s="1"/>
      <c r="V8" s="1"/>
      <c r="W8" s="1"/>
      <c r="X8" s="1"/>
      <c r="Y8" s="1"/>
      <c r="Z8" s="1"/>
    </row>
    <row r="9" spans="1:26" ht="13.5" customHeight="1">
      <c r="A9" s="11">
        <v>45901</v>
      </c>
      <c r="B9" s="11" t="s">
        <v>24</v>
      </c>
      <c r="C9" s="12" t="s">
        <v>25</v>
      </c>
      <c r="D9" s="12" t="s">
        <v>15</v>
      </c>
      <c r="E9" s="12" t="s">
        <v>16</v>
      </c>
      <c r="F9" s="12" t="s">
        <v>17</v>
      </c>
      <c r="G9" s="13" t="s">
        <v>168</v>
      </c>
      <c r="H9" s="14">
        <f t="shared" ref="H9:H38" si="0">J9-I9</f>
        <v>0.33333333333333331</v>
      </c>
      <c r="I9" s="15">
        <v>0.33333333333333331</v>
      </c>
      <c r="J9" s="15">
        <v>0.66666666666666663</v>
      </c>
      <c r="K9" s="1"/>
      <c r="L9" s="1"/>
      <c r="M9" s="1"/>
      <c r="N9" s="1"/>
      <c r="O9" s="1"/>
      <c r="P9" s="1"/>
      <c r="Q9" s="1"/>
      <c r="R9" s="1"/>
      <c r="S9" s="1"/>
      <c r="T9" s="1"/>
      <c r="U9" s="1"/>
      <c r="V9" s="1"/>
      <c r="W9" s="1"/>
      <c r="X9" s="1"/>
      <c r="Y9" s="1"/>
      <c r="Z9" s="1"/>
    </row>
    <row r="10" spans="1:26" ht="13.5" customHeight="1">
      <c r="A10" s="11">
        <v>45902</v>
      </c>
      <c r="B10" s="11" t="s">
        <v>13</v>
      </c>
      <c r="C10" s="12"/>
      <c r="D10" s="12"/>
      <c r="E10" s="12"/>
      <c r="F10" s="12"/>
      <c r="G10" s="13"/>
      <c r="H10" s="14">
        <f t="shared" si="0"/>
        <v>0</v>
      </c>
      <c r="I10" s="15"/>
      <c r="J10" s="15"/>
      <c r="K10" s="1"/>
      <c r="L10" s="1"/>
      <c r="M10" s="1"/>
      <c r="N10" s="1"/>
      <c r="O10" s="1"/>
      <c r="P10" s="1"/>
      <c r="Q10" s="1"/>
      <c r="R10" s="1"/>
      <c r="S10" s="1"/>
      <c r="T10" s="1"/>
      <c r="U10" s="1"/>
      <c r="V10" s="1"/>
      <c r="W10" s="1"/>
      <c r="X10" s="1"/>
      <c r="Y10" s="1"/>
      <c r="Z10" s="1"/>
    </row>
    <row r="11" spans="1:26" ht="13.5" customHeight="1">
      <c r="A11" s="11">
        <v>45903</v>
      </c>
      <c r="B11" s="11" t="s">
        <v>19</v>
      </c>
      <c r="C11" s="12"/>
      <c r="D11" s="12"/>
      <c r="E11" s="12"/>
      <c r="F11" s="12"/>
      <c r="G11" s="13"/>
      <c r="H11" s="14">
        <f t="shared" si="0"/>
        <v>0</v>
      </c>
      <c r="I11" s="15"/>
      <c r="J11" s="15"/>
      <c r="K11" s="1"/>
      <c r="L11" s="1"/>
      <c r="M11" s="1"/>
      <c r="N11" s="1"/>
      <c r="O11" s="1"/>
      <c r="P11" s="1"/>
      <c r="Q11" s="1"/>
      <c r="R11" s="1"/>
      <c r="S11" s="1"/>
      <c r="T11" s="1"/>
      <c r="U11" s="1"/>
      <c r="V11" s="1"/>
      <c r="W11" s="1"/>
      <c r="X11" s="1"/>
      <c r="Y11" s="1"/>
      <c r="Z11" s="1"/>
    </row>
    <row r="12" spans="1:26" ht="13.5" customHeight="1">
      <c r="A12" s="11">
        <v>45904</v>
      </c>
      <c r="B12" s="11" t="s">
        <v>20</v>
      </c>
      <c r="C12" s="12"/>
      <c r="D12" s="12"/>
      <c r="E12" s="12"/>
      <c r="F12" s="12"/>
      <c r="G12" s="13"/>
      <c r="H12" s="14">
        <f t="shared" si="0"/>
        <v>0</v>
      </c>
      <c r="I12" s="15"/>
      <c r="J12" s="15"/>
      <c r="K12" s="1"/>
      <c r="L12" s="1"/>
      <c r="M12" s="1"/>
      <c r="N12" s="1"/>
      <c r="O12" s="1"/>
      <c r="P12" s="1"/>
      <c r="Q12" s="1"/>
      <c r="R12" s="1"/>
      <c r="S12" s="1"/>
      <c r="T12" s="1"/>
      <c r="U12" s="1"/>
      <c r="V12" s="1"/>
      <c r="W12" s="1"/>
      <c r="X12" s="1"/>
      <c r="Y12" s="1"/>
      <c r="Z12" s="1"/>
    </row>
    <row r="13" spans="1:26" ht="13.5" customHeight="1">
      <c r="A13" s="11">
        <v>45905</v>
      </c>
      <c r="B13" s="11" t="s">
        <v>21</v>
      </c>
      <c r="C13" s="12"/>
      <c r="D13" s="12"/>
      <c r="E13" s="12"/>
      <c r="F13" s="12"/>
      <c r="G13" s="13"/>
      <c r="H13" s="14">
        <f t="shared" si="0"/>
        <v>0</v>
      </c>
      <c r="I13" s="15"/>
      <c r="J13" s="15"/>
      <c r="K13" s="1"/>
      <c r="L13" s="1"/>
      <c r="M13" s="1"/>
      <c r="N13" s="1"/>
      <c r="O13" s="1"/>
      <c r="P13" s="1"/>
      <c r="Q13" s="1"/>
      <c r="R13" s="1"/>
      <c r="S13" s="1"/>
      <c r="T13" s="1"/>
      <c r="U13" s="1"/>
      <c r="V13" s="1"/>
      <c r="W13" s="1"/>
      <c r="X13" s="1"/>
      <c r="Y13" s="1"/>
      <c r="Z13" s="1"/>
    </row>
    <row r="14" spans="1:26" ht="13.5" customHeight="1">
      <c r="A14" s="16">
        <v>45906</v>
      </c>
      <c r="B14" s="16" t="s">
        <v>22</v>
      </c>
      <c r="C14" s="17"/>
      <c r="D14" s="17"/>
      <c r="E14" s="17"/>
      <c r="F14" s="17"/>
      <c r="G14" s="18"/>
      <c r="H14" s="19">
        <f t="shared" si="0"/>
        <v>0</v>
      </c>
      <c r="I14" s="20"/>
      <c r="J14" s="20"/>
      <c r="K14" s="1"/>
      <c r="L14" s="1"/>
      <c r="M14" s="1"/>
      <c r="N14" s="1"/>
      <c r="O14" s="1"/>
      <c r="P14" s="1"/>
      <c r="Q14" s="1"/>
      <c r="R14" s="1"/>
      <c r="S14" s="1"/>
      <c r="T14" s="1"/>
      <c r="U14" s="1"/>
      <c r="V14" s="1"/>
      <c r="W14" s="1"/>
      <c r="X14" s="1"/>
      <c r="Y14" s="1"/>
      <c r="Z14" s="1"/>
    </row>
    <row r="15" spans="1:26" ht="13.5" customHeight="1">
      <c r="A15" s="16">
        <v>45907</v>
      </c>
      <c r="B15" s="16" t="s">
        <v>23</v>
      </c>
      <c r="C15" s="17"/>
      <c r="D15" s="17"/>
      <c r="E15" s="17"/>
      <c r="F15" s="17"/>
      <c r="G15" s="18"/>
      <c r="H15" s="19">
        <f t="shared" si="0"/>
        <v>0</v>
      </c>
      <c r="I15" s="20"/>
      <c r="J15" s="20"/>
      <c r="K15" s="1"/>
      <c r="L15" s="1"/>
      <c r="M15" s="1"/>
      <c r="N15" s="1"/>
      <c r="O15" s="1"/>
      <c r="P15" s="1"/>
      <c r="Q15" s="1"/>
      <c r="R15" s="1"/>
      <c r="S15" s="1"/>
      <c r="T15" s="1"/>
      <c r="U15" s="1"/>
      <c r="V15" s="1"/>
      <c r="W15" s="1"/>
      <c r="X15" s="1"/>
      <c r="Y15" s="1"/>
      <c r="Z15" s="1"/>
    </row>
    <row r="16" spans="1:26" ht="13.5" customHeight="1">
      <c r="A16" s="11">
        <v>45908</v>
      </c>
      <c r="B16" s="11" t="s">
        <v>24</v>
      </c>
      <c r="C16" s="12"/>
      <c r="D16" s="12"/>
      <c r="E16" s="12"/>
      <c r="F16" s="12"/>
      <c r="G16" s="13"/>
      <c r="H16" s="14">
        <f t="shared" si="0"/>
        <v>0</v>
      </c>
      <c r="I16" s="15"/>
      <c r="J16" s="15"/>
      <c r="K16" s="1"/>
      <c r="L16" s="1"/>
      <c r="M16" s="1"/>
      <c r="N16" s="1"/>
      <c r="O16" s="1"/>
      <c r="P16" s="1"/>
      <c r="Q16" s="1"/>
      <c r="R16" s="1"/>
      <c r="S16" s="1"/>
      <c r="T16" s="1"/>
      <c r="U16" s="1"/>
      <c r="V16" s="1"/>
      <c r="W16" s="1"/>
      <c r="X16" s="1"/>
      <c r="Y16" s="1"/>
      <c r="Z16" s="1"/>
    </row>
    <row r="17" spans="1:26" ht="13.5" customHeight="1">
      <c r="A17" s="11">
        <v>45909</v>
      </c>
      <c r="B17" s="11" t="s">
        <v>13</v>
      </c>
      <c r="C17" s="12"/>
      <c r="D17" s="12"/>
      <c r="E17" s="12"/>
      <c r="F17" s="12"/>
      <c r="G17" s="13"/>
      <c r="H17" s="14">
        <f t="shared" si="0"/>
        <v>0</v>
      </c>
      <c r="I17" s="15"/>
      <c r="J17" s="15"/>
      <c r="K17" s="1"/>
      <c r="L17" s="1"/>
      <c r="M17" s="1"/>
      <c r="N17" s="1"/>
      <c r="O17" s="1"/>
      <c r="P17" s="1"/>
      <c r="Q17" s="1"/>
      <c r="R17" s="1"/>
      <c r="S17" s="1"/>
      <c r="T17" s="1"/>
      <c r="U17" s="1"/>
      <c r="V17" s="1"/>
      <c r="W17" s="1"/>
      <c r="X17" s="1"/>
      <c r="Y17" s="1"/>
      <c r="Z17" s="1"/>
    </row>
    <row r="18" spans="1:26" ht="13.5" customHeight="1">
      <c r="A18" s="11">
        <v>45910</v>
      </c>
      <c r="B18" s="11" t="s">
        <v>19</v>
      </c>
      <c r="C18" s="12"/>
      <c r="D18" s="12"/>
      <c r="E18" s="12"/>
      <c r="F18" s="12"/>
      <c r="G18" s="13"/>
      <c r="H18" s="14">
        <f t="shared" si="0"/>
        <v>0</v>
      </c>
      <c r="I18" s="15"/>
      <c r="J18" s="15"/>
      <c r="K18" s="1"/>
      <c r="L18" s="1"/>
      <c r="M18" s="1"/>
      <c r="N18" s="1"/>
      <c r="O18" s="1"/>
      <c r="P18" s="1"/>
      <c r="Q18" s="1"/>
      <c r="R18" s="1"/>
      <c r="S18" s="1"/>
      <c r="T18" s="1"/>
      <c r="U18" s="1"/>
      <c r="V18" s="1"/>
      <c r="W18" s="1"/>
      <c r="X18" s="1"/>
      <c r="Y18" s="1"/>
      <c r="Z18" s="1"/>
    </row>
    <row r="19" spans="1:26" ht="13.5" customHeight="1">
      <c r="A19" s="11">
        <v>45911</v>
      </c>
      <c r="B19" s="11" t="s">
        <v>20</v>
      </c>
      <c r="C19" s="12"/>
      <c r="D19" s="12"/>
      <c r="E19" s="12"/>
      <c r="F19" s="12"/>
      <c r="G19" s="13"/>
      <c r="H19" s="14">
        <f t="shared" si="0"/>
        <v>0</v>
      </c>
      <c r="I19" s="15"/>
      <c r="J19" s="15"/>
      <c r="K19" s="1"/>
      <c r="L19" s="1"/>
      <c r="M19" s="1"/>
      <c r="N19" s="1"/>
      <c r="O19" s="1"/>
      <c r="P19" s="1"/>
      <c r="Q19" s="1"/>
      <c r="R19" s="1"/>
      <c r="S19" s="1"/>
      <c r="T19" s="1"/>
      <c r="U19" s="1"/>
      <c r="V19" s="1"/>
      <c r="W19" s="1"/>
      <c r="X19" s="1"/>
      <c r="Y19" s="1"/>
      <c r="Z19" s="1"/>
    </row>
    <row r="20" spans="1:26" ht="13.5" customHeight="1">
      <c r="A20" s="11">
        <v>45912</v>
      </c>
      <c r="B20" s="11" t="s">
        <v>21</v>
      </c>
      <c r="C20" s="12"/>
      <c r="D20" s="12"/>
      <c r="E20" s="12"/>
      <c r="F20" s="12"/>
      <c r="G20" s="13"/>
      <c r="H20" s="14">
        <f t="shared" si="0"/>
        <v>0</v>
      </c>
      <c r="I20" s="15"/>
      <c r="J20" s="15"/>
      <c r="K20" s="1"/>
      <c r="L20" s="1"/>
      <c r="M20" s="1"/>
      <c r="N20" s="1"/>
      <c r="O20" s="1"/>
      <c r="P20" s="1"/>
      <c r="Q20" s="1"/>
      <c r="R20" s="1"/>
      <c r="S20" s="1"/>
      <c r="T20" s="1"/>
      <c r="U20" s="1"/>
      <c r="V20" s="1"/>
      <c r="W20" s="1"/>
      <c r="X20" s="1"/>
      <c r="Y20" s="1"/>
      <c r="Z20" s="1"/>
    </row>
    <row r="21" spans="1:26" ht="13.5" customHeight="1">
      <c r="A21" s="16">
        <v>45913</v>
      </c>
      <c r="B21" s="16" t="s">
        <v>22</v>
      </c>
      <c r="C21" s="17"/>
      <c r="D21" s="17"/>
      <c r="E21" s="17"/>
      <c r="F21" s="17"/>
      <c r="G21" s="18"/>
      <c r="H21" s="19">
        <f t="shared" si="0"/>
        <v>0</v>
      </c>
      <c r="I21" s="20"/>
      <c r="J21" s="20"/>
      <c r="K21" s="1"/>
      <c r="L21" s="1"/>
      <c r="M21" s="1"/>
      <c r="N21" s="1"/>
      <c r="O21" s="1"/>
      <c r="P21" s="1"/>
      <c r="Q21" s="1"/>
      <c r="R21" s="1"/>
      <c r="S21" s="1"/>
      <c r="T21" s="1"/>
      <c r="U21" s="1"/>
      <c r="V21" s="1"/>
      <c r="W21" s="1"/>
      <c r="X21" s="1"/>
      <c r="Y21" s="1"/>
      <c r="Z21" s="1"/>
    </row>
    <row r="22" spans="1:26" ht="13.5" customHeight="1">
      <c r="A22" s="16">
        <v>45914</v>
      </c>
      <c r="B22" s="16" t="s">
        <v>23</v>
      </c>
      <c r="C22" s="17"/>
      <c r="D22" s="17"/>
      <c r="E22" s="17"/>
      <c r="F22" s="17"/>
      <c r="G22" s="18"/>
      <c r="H22" s="19">
        <f t="shared" si="0"/>
        <v>0</v>
      </c>
      <c r="I22" s="20"/>
      <c r="J22" s="20"/>
      <c r="K22" s="1"/>
      <c r="L22" s="1"/>
      <c r="M22" s="1"/>
      <c r="N22" s="1"/>
      <c r="O22" s="1"/>
      <c r="P22" s="1"/>
      <c r="Q22" s="1"/>
      <c r="R22" s="1"/>
      <c r="S22" s="1"/>
      <c r="T22" s="1"/>
      <c r="U22" s="1"/>
      <c r="V22" s="1"/>
      <c r="W22" s="1"/>
      <c r="X22" s="1"/>
      <c r="Y22" s="1"/>
      <c r="Z22" s="1"/>
    </row>
    <row r="23" spans="1:26" ht="13.5" customHeight="1">
      <c r="A23" s="11">
        <v>45915</v>
      </c>
      <c r="B23" s="11" t="s">
        <v>24</v>
      </c>
      <c r="C23" s="12"/>
      <c r="D23" s="12"/>
      <c r="E23" s="12"/>
      <c r="F23" s="12"/>
      <c r="G23" s="13"/>
      <c r="H23" s="14">
        <f t="shared" si="0"/>
        <v>0</v>
      </c>
      <c r="I23" s="15"/>
      <c r="J23" s="15"/>
      <c r="K23" s="1"/>
      <c r="L23" s="1"/>
      <c r="M23" s="1"/>
      <c r="N23" s="1"/>
      <c r="O23" s="1"/>
      <c r="P23" s="1"/>
      <c r="Q23" s="1"/>
      <c r="R23" s="1"/>
      <c r="S23" s="1"/>
      <c r="T23" s="1"/>
      <c r="U23" s="1"/>
      <c r="V23" s="1"/>
      <c r="W23" s="1"/>
      <c r="X23" s="1"/>
      <c r="Y23" s="1"/>
      <c r="Z23" s="1"/>
    </row>
    <row r="24" spans="1:26" ht="13.5" customHeight="1">
      <c r="A24" s="11">
        <v>45916</v>
      </c>
      <c r="B24" s="11" t="s">
        <v>13</v>
      </c>
      <c r="C24" s="12"/>
      <c r="D24" s="12"/>
      <c r="E24" s="12"/>
      <c r="F24" s="12"/>
      <c r="G24" s="13"/>
      <c r="H24" s="14">
        <f t="shared" si="0"/>
        <v>0</v>
      </c>
      <c r="I24" s="15"/>
      <c r="J24" s="15"/>
      <c r="K24" s="1"/>
      <c r="L24" s="1"/>
      <c r="M24" s="1"/>
      <c r="N24" s="1"/>
      <c r="O24" s="1"/>
      <c r="P24" s="1"/>
      <c r="Q24" s="1"/>
      <c r="R24" s="1"/>
      <c r="S24" s="1"/>
      <c r="T24" s="1"/>
      <c r="U24" s="1"/>
      <c r="V24" s="1"/>
      <c r="W24" s="1"/>
      <c r="X24" s="1"/>
      <c r="Y24" s="1"/>
      <c r="Z24" s="1"/>
    </row>
    <row r="25" spans="1:26" ht="13.5" customHeight="1">
      <c r="A25" s="11">
        <v>45917</v>
      </c>
      <c r="B25" s="11" t="s">
        <v>19</v>
      </c>
      <c r="C25" s="12"/>
      <c r="D25" s="12"/>
      <c r="E25" s="12"/>
      <c r="F25" s="12"/>
      <c r="G25" s="13"/>
      <c r="H25" s="14">
        <f t="shared" si="0"/>
        <v>0</v>
      </c>
      <c r="I25" s="15"/>
      <c r="J25" s="15"/>
      <c r="K25" s="1"/>
      <c r="L25" s="1"/>
      <c r="M25" s="1"/>
      <c r="N25" s="1"/>
      <c r="O25" s="1"/>
      <c r="P25" s="1"/>
      <c r="Q25" s="1"/>
      <c r="R25" s="1"/>
      <c r="S25" s="1"/>
      <c r="T25" s="1"/>
      <c r="U25" s="1"/>
      <c r="V25" s="1"/>
      <c r="W25" s="1"/>
      <c r="X25" s="1"/>
      <c r="Y25" s="1"/>
      <c r="Z25" s="1"/>
    </row>
    <row r="26" spans="1:26" ht="13.5" customHeight="1">
      <c r="A26" s="11">
        <v>45918</v>
      </c>
      <c r="B26" s="11" t="s">
        <v>20</v>
      </c>
      <c r="C26" s="12"/>
      <c r="D26" s="12"/>
      <c r="E26" s="12"/>
      <c r="F26" s="12"/>
      <c r="G26" s="13"/>
      <c r="H26" s="14">
        <f t="shared" si="0"/>
        <v>0</v>
      </c>
      <c r="I26" s="15"/>
      <c r="J26" s="15"/>
      <c r="K26" s="1"/>
      <c r="L26" s="1"/>
      <c r="M26" s="1"/>
      <c r="N26" s="1"/>
      <c r="O26" s="1"/>
      <c r="P26" s="1"/>
      <c r="Q26" s="1"/>
      <c r="R26" s="1"/>
      <c r="S26" s="1"/>
      <c r="T26" s="1"/>
      <c r="U26" s="1"/>
      <c r="V26" s="1"/>
      <c r="W26" s="1"/>
      <c r="X26" s="1"/>
      <c r="Y26" s="1"/>
      <c r="Z26" s="1"/>
    </row>
    <row r="27" spans="1:26" ht="13.5" customHeight="1">
      <c r="A27" s="11">
        <v>45919</v>
      </c>
      <c r="B27" s="11" t="s">
        <v>21</v>
      </c>
      <c r="C27" s="12"/>
      <c r="D27" s="12"/>
      <c r="E27" s="12"/>
      <c r="F27" s="12"/>
      <c r="G27" s="13"/>
      <c r="H27" s="14">
        <f t="shared" si="0"/>
        <v>0</v>
      </c>
      <c r="I27" s="15"/>
      <c r="J27" s="15"/>
      <c r="K27" s="1"/>
      <c r="L27" s="1"/>
      <c r="M27" s="1"/>
      <c r="N27" s="1"/>
      <c r="O27" s="1"/>
      <c r="P27" s="1"/>
      <c r="Q27" s="1"/>
      <c r="R27" s="1"/>
      <c r="S27" s="1"/>
      <c r="T27" s="1"/>
      <c r="U27" s="1"/>
      <c r="V27" s="1"/>
      <c r="W27" s="1"/>
      <c r="X27" s="1"/>
      <c r="Y27" s="1"/>
      <c r="Z27" s="1"/>
    </row>
    <row r="28" spans="1:26" ht="13.5" customHeight="1">
      <c r="A28" s="16">
        <v>45920</v>
      </c>
      <c r="B28" s="16" t="s">
        <v>22</v>
      </c>
      <c r="C28" s="17"/>
      <c r="D28" s="17"/>
      <c r="E28" s="17"/>
      <c r="F28" s="17"/>
      <c r="G28" s="18"/>
      <c r="H28" s="19">
        <f t="shared" si="0"/>
        <v>0</v>
      </c>
      <c r="I28" s="20"/>
      <c r="J28" s="20"/>
      <c r="K28" s="1"/>
      <c r="L28" s="1"/>
      <c r="M28" s="1"/>
      <c r="N28" s="1"/>
      <c r="O28" s="1"/>
      <c r="P28" s="1"/>
      <c r="Q28" s="1"/>
      <c r="R28" s="1"/>
      <c r="S28" s="1"/>
      <c r="T28" s="1"/>
      <c r="U28" s="1"/>
      <c r="V28" s="1"/>
      <c r="W28" s="1"/>
      <c r="X28" s="1"/>
      <c r="Y28" s="1"/>
      <c r="Z28" s="1"/>
    </row>
    <row r="29" spans="1:26" ht="13.5" customHeight="1">
      <c r="A29" s="16">
        <v>45921</v>
      </c>
      <c r="B29" s="16" t="s">
        <v>23</v>
      </c>
      <c r="C29" s="17"/>
      <c r="D29" s="17"/>
      <c r="E29" s="17"/>
      <c r="F29" s="17"/>
      <c r="G29" s="18"/>
      <c r="H29" s="19">
        <f t="shared" si="0"/>
        <v>0</v>
      </c>
      <c r="I29" s="20"/>
      <c r="J29" s="20"/>
      <c r="K29" s="1"/>
      <c r="L29" s="1"/>
      <c r="M29" s="1"/>
      <c r="N29" s="1"/>
      <c r="O29" s="1"/>
      <c r="P29" s="1"/>
      <c r="Q29" s="1"/>
      <c r="R29" s="1"/>
      <c r="S29" s="1"/>
      <c r="T29" s="1"/>
      <c r="U29" s="1"/>
      <c r="V29" s="1"/>
      <c r="W29" s="1"/>
      <c r="X29" s="1"/>
      <c r="Y29" s="1"/>
      <c r="Z29" s="1"/>
    </row>
    <row r="30" spans="1:26" ht="13.5" customHeight="1">
      <c r="A30" s="11">
        <v>45922</v>
      </c>
      <c r="B30" s="11" t="s">
        <v>24</v>
      </c>
      <c r="C30" s="12"/>
      <c r="D30" s="12"/>
      <c r="E30" s="12"/>
      <c r="F30" s="12"/>
      <c r="G30" s="13"/>
      <c r="H30" s="14">
        <f t="shared" si="0"/>
        <v>0</v>
      </c>
      <c r="I30" s="15"/>
      <c r="J30" s="15"/>
      <c r="K30" s="1"/>
      <c r="L30" s="1"/>
      <c r="M30" s="1"/>
      <c r="N30" s="1"/>
      <c r="O30" s="1"/>
      <c r="P30" s="1"/>
      <c r="Q30" s="1"/>
      <c r="R30" s="1"/>
      <c r="S30" s="1"/>
      <c r="T30" s="1"/>
      <c r="U30" s="1"/>
      <c r="V30" s="1"/>
      <c r="W30" s="1"/>
      <c r="X30" s="1"/>
      <c r="Y30" s="1"/>
      <c r="Z30" s="1"/>
    </row>
    <row r="31" spans="1:26" ht="13.5" customHeight="1">
      <c r="A31" s="11">
        <v>45923</v>
      </c>
      <c r="B31" s="11" t="s">
        <v>13</v>
      </c>
      <c r="C31" s="12"/>
      <c r="D31" s="12"/>
      <c r="E31" s="12"/>
      <c r="F31" s="12"/>
      <c r="G31" s="13"/>
      <c r="H31" s="14">
        <f t="shared" si="0"/>
        <v>0</v>
      </c>
      <c r="I31" s="15"/>
      <c r="J31" s="15"/>
      <c r="K31" s="1"/>
      <c r="L31" s="1"/>
      <c r="M31" s="1"/>
      <c r="N31" s="1"/>
      <c r="O31" s="1"/>
      <c r="P31" s="1"/>
      <c r="Q31" s="1"/>
      <c r="R31" s="1"/>
      <c r="S31" s="1"/>
      <c r="T31" s="1"/>
      <c r="U31" s="1"/>
      <c r="V31" s="1"/>
      <c r="W31" s="1"/>
      <c r="X31" s="1"/>
      <c r="Y31" s="1"/>
      <c r="Z31" s="1"/>
    </row>
    <row r="32" spans="1:26" ht="13.5" customHeight="1">
      <c r="A32" s="21">
        <v>45924</v>
      </c>
      <c r="B32" s="21" t="s">
        <v>19</v>
      </c>
      <c r="C32" s="22" t="s">
        <v>25</v>
      </c>
      <c r="D32" s="22"/>
      <c r="E32" s="22" t="s">
        <v>106</v>
      </c>
      <c r="F32" s="22" t="s">
        <v>28</v>
      </c>
      <c r="G32" s="23" t="s">
        <v>171</v>
      </c>
      <c r="H32" s="24">
        <f t="shared" si="0"/>
        <v>0.33333333333333331</v>
      </c>
      <c r="I32" s="25">
        <v>0.33333333333333331</v>
      </c>
      <c r="J32" s="25">
        <v>0.66666666666666663</v>
      </c>
      <c r="K32" s="1"/>
      <c r="L32" s="1"/>
      <c r="M32" s="1"/>
      <c r="N32" s="1"/>
      <c r="O32" s="1"/>
      <c r="P32" s="1"/>
      <c r="Q32" s="1"/>
      <c r="R32" s="1"/>
      <c r="S32" s="1"/>
      <c r="T32" s="1"/>
      <c r="U32" s="1"/>
      <c r="V32" s="1"/>
      <c r="W32" s="1"/>
      <c r="X32" s="1"/>
      <c r="Y32" s="1"/>
      <c r="Z32" s="1"/>
    </row>
    <row r="33" spans="1:26" ht="13.5" customHeight="1">
      <c r="A33" s="11">
        <v>45925</v>
      </c>
      <c r="B33" s="11" t="s">
        <v>20</v>
      </c>
      <c r="C33" s="12"/>
      <c r="D33" s="12"/>
      <c r="E33" s="12"/>
      <c r="F33" s="12"/>
      <c r="G33" s="13"/>
      <c r="H33" s="14">
        <f t="shared" si="0"/>
        <v>0</v>
      </c>
      <c r="I33" s="15"/>
      <c r="J33" s="15"/>
      <c r="K33" s="1"/>
      <c r="L33" s="1"/>
      <c r="M33" s="1"/>
      <c r="N33" s="1"/>
      <c r="O33" s="1"/>
      <c r="P33" s="1"/>
      <c r="Q33" s="1"/>
      <c r="R33" s="1"/>
      <c r="S33" s="1"/>
      <c r="T33" s="1"/>
      <c r="U33" s="1"/>
      <c r="V33" s="1"/>
      <c r="W33" s="1"/>
      <c r="X33" s="1"/>
      <c r="Y33" s="1"/>
      <c r="Z33" s="1"/>
    </row>
    <row r="34" spans="1:26" ht="13.5" customHeight="1">
      <c r="A34" s="11">
        <v>45926</v>
      </c>
      <c r="B34" s="11" t="s">
        <v>21</v>
      </c>
      <c r="C34" s="12"/>
      <c r="D34" s="12"/>
      <c r="E34" s="12"/>
      <c r="F34" s="12"/>
      <c r="G34" s="13"/>
      <c r="H34" s="14">
        <f t="shared" si="0"/>
        <v>0</v>
      </c>
      <c r="I34" s="15"/>
      <c r="J34" s="15"/>
      <c r="K34" s="1"/>
      <c r="L34" s="1"/>
      <c r="M34" s="1"/>
      <c r="N34" s="1"/>
      <c r="O34" s="1"/>
      <c r="P34" s="1"/>
      <c r="Q34" s="1"/>
      <c r="R34" s="1"/>
      <c r="S34" s="1"/>
      <c r="T34" s="1"/>
      <c r="U34" s="1"/>
      <c r="V34" s="1"/>
      <c r="W34" s="1"/>
      <c r="X34" s="1"/>
      <c r="Y34" s="1"/>
      <c r="Z34" s="1"/>
    </row>
    <row r="35" spans="1:26" ht="13.5" customHeight="1">
      <c r="A35" s="16">
        <v>45927</v>
      </c>
      <c r="B35" s="16" t="s">
        <v>22</v>
      </c>
      <c r="C35" s="17"/>
      <c r="D35" s="17"/>
      <c r="E35" s="17"/>
      <c r="F35" s="17"/>
      <c r="G35" s="18"/>
      <c r="H35" s="19">
        <f t="shared" si="0"/>
        <v>0</v>
      </c>
      <c r="I35" s="20"/>
      <c r="J35" s="20"/>
      <c r="K35" s="1"/>
      <c r="L35" s="1"/>
      <c r="M35" s="1"/>
      <c r="N35" s="1"/>
      <c r="O35" s="1"/>
      <c r="P35" s="1"/>
      <c r="Q35" s="1"/>
      <c r="R35" s="1"/>
      <c r="S35" s="1"/>
      <c r="T35" s="1"/>
      <c r="U35" s="1"/>
      <c r="V35" s="1"/>
      <c r="W35" s="1"/>
      <c r="X35" s="1"/>
      <c r="Y35" s="1"/>
      <c r="Z35" s="1"/>
    </row>
    <row r="36" spans="1:26" ht="13.5" customHeight="1">
      <c r="A36" s="16">
        <v>45928</v>
      </c>
      <c r="B36" s="16" t="s">
        <v>23</v>
      </c>
      <c r="C36" s="17"/>
      <c r="D36" s="17"/>
      <c r="E36" s="17"/>
      <c r="F36" s="17"/>
      <c r="G36" s="18"/>
      <c r="H36" s="19">
        <f t="shared" si="0"/>
        <v>0</v>
      </c>
      <c r="I36" s="20"/>
      <c r="J36" s="20"/>
      <c r="K36" s="1"/>
      <c r="L36" s="1"/>
      <c r="M36" s="1"/>
      <c r="N36" s="1"/>
      <c r="O36" s="1"/>
      <c r="P36" s="1"/>
      <c r="Q36" s="1"/>
      <c r="R36" s="1"/>
      <c r="S36" s="1"/>
      <c r="T36" s="1"/>
      <c r="U36" s="1"/>
      <c r="V36" s="1"/>
      <c r="W36" s="1"/>
      <c r="X36" s="1"/>
      <c r="Y36" s="1"/>
      <c r="Z36" s="1"/>
    </row>
    <row r="37" spans="1:26" ht="13.5" customHeight="1">
      <c r="A37" s="11">
        <v>45929</v>
      </c>
      <c r="B37" s="11" t="s">
        <v>24</v>
      </c>
      <c r="C37" s="12"/>
      <c r="D37" s="12"/>
      <c r="E37" s="12"/>
      <c r="F37" s="12"/>
      <c r="G37" s="13"/>
      <c r="H37" s="14">
        <f t="shared" si="0"/>
        <v>0</v>
      </c>
      <c r="I37" s="15"/>
      <c r="J37" s="15"/>
      <c r="K37" s="1"/>
      <c r="L37" s="1"/>
      <c r="M37" s="1"/>
      <c r="N37" s="1"/>
      <c r="O37" s="1"/>
      <c r="P37" s="1"/>
      <c r="Q37" s="1"/>
      <c r="R37" s="1"/>
      <c r="S37" s="1"/>
      <c r="T37" s="1"/>
      <c r="U37" s="1"/>
      <c r="V37" s="1"/>
      <c r="W37" s="1"/>
      <c r="X37" s="1"/>
      <c r="Y37" s="1"/>
      <c r="Z37" s="1"/>
    </row>
    <row r="38" spans="1:26" ht="13.5" customHeight="1">
      <c r="A38" s="11">
        <v>45930</v>
      </c>
      <c r="B38" s="11" t="s">
        <v>13</v>
      </c>
      <c r="C38" s="12"/>
      <c r="D38" s="12"/>
      <c r="E38" s="12"/>
      <c r="F38" s="12"/>
      <c r="G38" s="13"/>
      <c r="H38" s="14">
        <f t="shared" si="0"/>
        <v>0</v>
      </c>
      <c r="I38" s="15"/>
      <c r="J38" s="15"/>
      <c r="K38" s="1"/>
      <c r="L38" s="1"/>
      <c r="M38" s="1"/>
      <c r="N38" s="1"/>
      <c r="O38" s="1"/>
      <c r="P38" s="1"/>
      <c r="Q38" s="1"/>
      <c r="R38" s="1"/>
      <c r="S38" s="1"/>
      <c r="T38" s="1"/>
      <c r="U38" s="1"/>
      <c r="V38" s="1"/>
      <c r="W38" s="1"/>
      <c r="X38" s="1"/>
      <c r="Y38" s="1"/>
      <c r="Z38" s="1"/>
    </row>
    <row r="39" spans="1:26" ht="13.5" customHeight="1">
      <c r="A39" s="5"/>
      <c r="B39" s="5"/>
      <c r="C39" s="50"/>
      <c r="D39" s="50"/>
      <c r="E39" s="50"/>
      <c r="F39" s="50"/>
      <c r="G39" s="50"/>
      <c r="H39" s="51"/>
      <c r="I39" s="2"/>
      <c r="J39" s="1"/>
      <c r="K39" s="1"/>
      <c r="L39" s="1"/>
      <c r="M39" s="1"/>
      <c r="N39" s="1"/>
      <c r="O39" s="1"/>
      <c r="P39" s="1"/>
      <c r="Q39" s="1"/>
      <c r="R39" s="1"/>
      <c r="S39" s="1"/>
      <c r="T39" s="1"/>
      <c r="U39" s="1"/>
      <c r="V39" s="1"/>
      <c r="W39" s="1"/>
      <c r="X39" s="1"/>
      <c r="Y39" s="1"/>
      <c r="Z39" s="1"/>
    </row>
    <row r="40" spans="1:26" ht="13.5" customHeight="1">
      <c r="A40" s="28"/>
      <c r="B40" s="28"/>
      <c r="C40" s="29"/>
      <c r="D40" s="30"/>
      <c r="E40" s="31" t="s">
        <v>159</v>
      </c>
      <c r="F40" s="32">
        <v>168</v>
      </c>
      <c r="G40" s="1"/>
      <c r="H40" s="3"/>
      <c r="I40" s="1"/>
      <c r="J40" s="1"/>
      <c r="K40" s="1"/>
      <c r="L40" s="1"/>
      <c r="M40" s="1"/>
      <c r="N40" s="1"/>
      <c r="O40" s="1"/>
      <c r="P40" s="1"/>
      <c r="Q40" s="1"/>
      <c r="R40" s="1"/>
      <c r="S40" s="1"/>
      <c r="T40" s="1"/>
      <c r="U40" s="1"/>
      <c r="V40" s="1"/>
      <c r="W40" s="1"/>
      <c r="X40" s="1"/>
      <c r="Y40" s="1"/>
      <c r="Z40" s="1"/>
    </row>
    <row r="41" spans="1:26" ht="13.5" customHeight="1">
      <c r="A41" s="28"/>
      <c r="B41" s="28"/>
      <c r="C41" s="33"/>
      <c r="D41" s="34"/>
      <c r="E41" s="35" t="s">
        <v>160</v>
      </c>
      <c r="F41" s="127">
        <v>21</v>
      </c>
      <c r="G41" s="1"/>
      <c r="H41" s="3"/>
      <c r="I41" s="1"/>
      <c r="J41" s="1"/>
      <c r="K41" s="1"/>
      <c r="L41" s="1"/>
      <c r="M41" s="1"/>
      <c r="N41" s="1"/>
      <c r="O41" s="1"/>
      <c r="P41" s="1"/>
      <c r="Q41" s="1"/>
      <c r="R41" s="1"/>
      <c r="S41" s="1"/>
      <c r="T41" s="1"/>
      <c r="U41" s="1"/>
      <c r="V41" s="1"/>
      <c r="W41" s="1"/>
      <c r="X41" s="1"/>
      <c r="Y41" s="1"/>
      <c r="Z41" s="1"/>
    </row>
    <row r="42" spans="1:26" ht="13.5" customHeight="1">
      <c r="A42" s="136" t="s">
        <v>161</v>
      </c>
      <c r="B42" s="137"/>
      <c r="C42" s="137"/>
      <c r="D42" s="36"/>
      <c r="E42" s="34"/>
      <c r="F42" s="34"/>
      <c r="G42" s="1"/>
      <c r="H42" s="3"/>
      <c r="I42" s="1"/>
      <c r="J42" s="1"/>
      <c r="K42" s="1"/>
      <c r="L42" s="1"/>
      <c r="M42" s="1"/>
      <c r="N42" s="1"/>
      <c r="O42" s="1"/>
      <c r="P42" s="1"/>
      <c r="Q42" s="1"/>
      <c r="R42" s="1"/>
      <c r="S42" s="1"/>
      <c r="T42" s="1"/>
      <c r="U42" s="1"/>
      <c r="V42" s="1"/>
      <c r="W42" s="1"/>
      <c r="X42" s="1"/>
      <c r="Y42" s="1"/>
      <c r="Z42" s="1"/>
    </row>
    <row r="43" spans="1:26" ht="13.5" customHeight="1">
      <c r="A43" s="37"/>
      <c r="B43" s="37"/>
      <c r="C43" s="30"/>
      <c r="D43" s="30"/>
      <c r="E43" s="38" t="s">
        <v>162</v>
      </c>
      <c r="F43" s="39">
        <f>SUMIF(F9:F38,"Billable",H9:H38)</f>
        <v>0.33333333333333331</v>
      </c>
      <c r="G43" s="1"/>
      <c r="H43" s="40"/>
      <c r="I43" s="1"/>
      <c r="J43" s="1"/>
      <c r="K43" s="1"/>
      <c r="L43" s="1"/>
      <c r="M43" s="1"/>
      <c r="N43" s="1"/>
      <c r="O43" s="1"/>
      <c r="P43" s="1"/>
      <c r="Q43" s="1"/>
      <c r="R43" s="1"/>
      <c r="S43" s="1"/>
      <c r="T43" s="1"/>
      <c r="U43" s="1"/>
      <c r="V43" s="1"/>
      <c r="W43" s="1"/>
      <c r="X43" s="1"/>
      <c r="Y43" s="1"/>
      <c r="Z43" s="1"/>
    </row>
    <row r="44" spans="1:26" ht="15" customHeight="1">
      <c r="A44" s="138" t="s">
        <v>163</v>
      </c>
      <c r="B44" s="137"/>
      <c r="C44" s="137"/>
      <c r="D44" s="41"/>
      <c r="E44" s="128" t="s">
        <v>164</v>
      </c>
      <c r="F44" s="42">
        <f>SUMIF(F9:F38,"Non-Billable",H9:H38)</f>
        <v>0.33333333333333331</v>
      </c>
      <c r="G44" s="1"/>
      <c r="H44" s="3"/>
      <c r="I44" s="1"/>
      <c r="J44" s="1"/>
      <c r="K44" s="1"/>
      <c r="L44" s="1"/>
      <c r="M44" s="1"/>
      <c r="N44" s="1"/>
      <c r="O44" s="1"/>
      <c r="P44" s="1"/>
      <c r="Q44" s="1"/>
      <c r="R44" s="1"/>
      <c r="S44" s="1"/>
      <c r="T44" s="1"/>
      <c r="U44" s="1"/>
      <c r="V44" s="1"/>
      <c r="W44" s="1"/>
      <c r="X44" s="1"/>
      <c r="Y44" s="1"/>
      <c r="Z44" s="1"/>
    </row>
    <row r="45" spans="1:26" ht="13.5" customHeight="1">
      <c r="A45" s="34"/>
      <c r="B45" s="34"/>
      <c r="C45" s="34"/>
      <c r="D45" s="34"/>
      <c r="E45" s="43" t="s">
        <v>165</v>
      </c>
      <c r="F45" s="44">
        <f>F43+F44</f>
        <v>0.66666666666666663</v>
      </c>
      <c r="G45" s="1"/>
      <c r="H45" s="3"/>
      <c r="I45" s="1"/>
      <c r="J45" s="1"/>
      <c r="K45" s="1"/>
      <c r="L45" s="1"/>
      <c r="M45" s="1"/>
      <c r="N45" s="1"/>
      <c r="O45" s="1"/>
      <c r="P45" s="1"/>
      <c r="Q45" s="1"/>
      <c r="R45" s="1"/>
      <c r="S45" s="1"/>
      <c r="T45" s="1"/>
      <c r="U45" s="1"/>
      <c r="V45" s="1"/>
      <c r="W45" s="1"/>
      <c r="X45" s="1"/>
      <c r="Y45" s="1"/>
      <c r="Z45" s="1"/>
    </row>
    <row r="46" spans="1:26" ht="13.5" customHeight="1">
      <c r="A46" s="34"/>
      <c r="B46" s="34"/>
      <c r="C46" s="34"/>
      <c r="D46" s="34"/>
      <c r="E46" s="34"/>
      <c r="F46" s="34"/>
      <c r="G46" s="1"/>
      <c r="H46" s="3"/>
      <c r="I46" s="1"/>
      <c r="J46" s="1"/>
      <c r="K46" s="1"/>
      <c r="L46" s="1"/>
      <c r="M46" s="1"/>
      <c r="N46" s="1"/>
      <c r="O46" s="1"/>
      <c r="P46" s="1"/>
      <c r="Q46" s="1"/>
      <c r="R46" s="1"/>
      <c r="S46" s="1"/>
      <c r="T46" s="1"/>
      <c r="U46" s="1"/>
      <c r="V46" s="1"/>
      <c r="W46" s="1"/>
      <c r="X46" s="1"/>
      <c r="Y46" s="1"/>
      <c r="Z46" s="1"/>
    </row>
    <row r="47" spans="1:26" ht="13.5" customHeight="1">
      <c r="A47" s="34"/>
      <c r="B47" s="34"/>
      <c r="C47" s="34"/>
      <c r="D47" s="34"/>
      <c r="E47" s="45" t="s">
        <v>166</v>
      </c>
      <c r="F47" s="46"/>
      <c r="G47" s="1"/>
      <c r="H47" s="3"/>
      <c r="I47" s="1"/>
      <c r="J47" s="1"/>
      <c r="K47" s="1"/>
      <c r="L47" s="1"/>
      <c r="M47" s="1"/>
      <c r="N47" s="1"/>
      <c r="O47" s="1"/>
      <c r="P47" s="1"/>
      <c r="Q47" s="1"/>
      <c r="R47" s="1"/>
      <c r="S47" s="1"/>
      <c r="T47" s="1"/>
      <c r="U47" s="1"/>
      <c r="V47" s="1"/>
      <c r="W47" s="1"/>
      <c r="X47" s="1"/>
      <c r="Y47" s="1"/>
      <c r="Z47" s="1"/>
    </row>
    <row r="48" spans="1:26" ht="13.5" customHeight="1">
      <c r="A48" s="1"/>
      <c r="B48" s="1"/>
      <c r="C48" s="1"/>
      <c r="D48" s="1"/>
      <c r="E48" s="47"/>
      <c r="F48" s="1"/>
      <c r="G48" s="1"/>
      <c r="H48" s="3"/>
      <c r="I48" s="1"/>
      <c r="J48" s="1"/>
      <c r="K48" s="1"/>
      <c r="L48" s="1"/>
      <c r="M48" s="1"/>
      <c r="N48" s="1"/>
      <c r="O48" s="1"/>
      <c r="P48" s="1"/>
      <c r="Q48" s="1"/>
      <c r="R48" s="1"/>
      <c r="S48" s="1"/>
      <c r="T48" s="1"/>
      <c r="U48" s="1"/>
      <c r="V48" s="1"/>
      <c r="W48" s="1"/>
      <c r="X48" s="1"/>
      <c r="Y48" s="1"/>
      <c r="Z48" s="1"/>
    </row>
    <row r="49" spans="1:26"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42:C42"/>
    <mergeCell ref="A44:C44"/>
  </mergeCells>
  <conditionalFormatting sqref="A6:B6 D6:E7 D39:E40">
    <cfRule type="containsText" dxfId="15" priority="1" operator="containsText" text="Religious Leave">
      <formula>NOT(ISERROR(SEARCH(("Religious Leave"),(A6))))</formula>
    </cfRule>
    <cfRule type="containsText" dxfId="14" priority="2" operator="containsText" text="Birthday Leave">
      <formula>NOT(ISERROR(SEARCH(("Birthday Leave"),(A6))))</formula>
    </cfRule>
    <cfRule type="containsText" dxfId="13" priority="3" operator="containsText" text="Study Leave">
      <formula>NOT(ISERROR(SEARCH(("Study Leave"),(A6))))</formula>
    </cfRule>
    <cfRule type="containsText" dxfId="12" priority="4" operator="containsText" text="Family Responsibility Leave">
      <formula>NOT(ISERROR(SEARCH(("Family Responsibility Leave"),(A6))))</formula>
    </cfRule>
    <cfRule type="containsText" dxfId="11" priority="5" operator="containsText" text="Sick Leave">
      <formula>NOT(ISERROR(SEARCH(("Sick Leave"),(A6))))</formula>
    </cfRule>
    <cfRule type="containsText" dxfId="10" priority="6" operator="containsText" text="Annual Leave">
      <formula>NOT(ISERROR(SEARCH(("Annual Leave"),(A6))))</formula>
    </cfRule>
    <cfRule type="cellIs" dxfId="9" priority="7" operator="equal">
      <formula>"Public Holiday"</formula>
    </cfRule>
  </conditionalFormatting>
  <conditionalFormatting sqref="B7:B48">
    <cfRule type="containsText" dxfId="8" priority="8" operator="containsText" text="Saturday">
      <formula>NOT(ISERROR(SEARCH(("Saturday"),(B7))))</formula>
    </cfRule>
    <cfRule type="containsText" dxfId="7" priority="9" operator="containsText" text="Sunday">
      <formula>NOT(ISERROR(SEARCH(("Sunday"),(B7))))</formula>
    </cfRule>
  </conditionalFormatting>
  <conditionalFormatting sqref="D42:E44 E47">
    <cfRule type="containsText" dxfId="6" priority="10" operator="containsText" text="Religious Leave">
      <formula>NOT(ISERROR(SEARCH(("Religious Leave"),(D42))))</formula>
    </cfRule>
    <cfRule type="containsText" dxfId="5" priority="11" operator="containsText" text="Birthday Leave">
      <formula>NOT(ISERROR(SEARCH(("Birthday Leave"),(D42))))</formula>
    </cfRule>
    <cfRule type="containsText" dxfId="4" priority="12" operator="containsText" text="Study Leave">
      <formula>NOT(ISERROR(SEARCH(("Study Leave"),(D42))))</formula>
    </cfRule>
    <cfRule type="containsText" dxfId="3" priority="13" operator="containsText" text="Family Responsibility Leave">
      <formula>NOT(ISERROR(SEARCH(("Family Responsibility Leave"),(D42))))</formula>
    </cfRule>
    <cfRule type="containsText" dxfId="2" priority="14" operator="containsText" text="Sick Leave">
      <formula>NOT(ISERROR(SEARCH(("Sick Leave"),(D42))))</formula>
    </cfRule>
    <cfRule type="containsText" dxfId="1" priority="15" operator="containsText" text="Annual Leave">
      <formula>NOT(ISERROR(SEARCH(("Annual Leave"),(D42))))</formula>
    </cfRule>
    <cfRule type="cellIs" dxfId="0" priority="16" operator="equal">
      <formula>"Public Holiday"</formula>
    </cfRule>
  </conditionalFormatting>
  <dataValidations count="1">
    <dataValidation type="custom" allowBlank="1" showInputMessage="1" showErrorMessage="1" prompt="Invalid Time Format - Please input a valid time. For e.g. 08:00" sqref="I9:J38" xr:uid="{00000000-0002-0000-0500-000001000000}">
      <formula1>AND(GTE(I9,MIN((0),(0.999988425925926))),LTE(I9,MAX((0),(0.999988425925926))))</formula1>
    </dataValidation>
  </dataValidations>
  <pageMargins left="0.7" right="0.7" top="0.75" bottom="0.75" header="0" footer="0"/>
  <pageSetup paperSize="9" scale="75" orientation="portrait"/>
  <headerFooter>
    <oddFooter>&amp;L_x000D_#000000 Classified as Confidential</oddFooter>
  </headerFooter>
  <drawing r:id="rId1"/>
  <extLst>
    <ext xmlns:x14="http://schemas.microsoft.com/office/spreadsheetml/2009/9/main" uri="{CCE6A557-97BC-4b89-ADB6-D9C93CAAB3DF}">
      <x14:dataValidations xmlns:xm="http://schemas.microsoft.com/office/excel/2006/main" count="4">
        <x14:dataValidation type="list" allowBlank="1" showErrorMessage="1" xr:uid="{00000000-0002-0000-0500-000000000000}">
          <x14:formula1>
            <xm:f>Key!$K$3:$K$4</xm:f>
          </x14:formula1>
          <xm:sqref>F9:F38</xm:sqref>
        </x14:dataValidation>
        <x14:dataValidation type="list" allowBlank="1" showErrorMessage="1" xr:uid="{00000000-0002-0000-0500-000002000000}">
          <x14:formula1>
            <xm:f>Key!$F$3:$F$52</xm:f>
          </x14:formula1>
          <xm:sqref>E9:E38</xm:sqref>
        </x14:dataValidation>
        <x14:dataValidation type="list" allowBlank="1" showErrorMessage="1" xr:uid="{00000000-0002-0000-0500-000003000000}">
          <x14:formula1>
            <xm:f>Key!$B$2:$B$51</xm:f>
          </x14:formula1>
          <xm:sqref>C9:C38</xm:sqref>
        </x14:dataValidation>
        <x14:dataValidation type="list" allowBlank="1" showErrorMessage="1" xr:uid="{00000000-0002-0000-0500-000004000000}">
          <x14:formula1>
            <xm:f>Key!$H$3:$H$76</xm:f>
          </x14:formula1>
          <xm:sqref>B5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59765625" defaultRowHeight="15" customHeight="1"/>
  <cols>
    <col min="1" max="1" width="12" customWidth="1"/>
    <col min="2" max="2" width="13.09765625" customWidth="1"/>
    <col min="3" max="3" width="16.19921875" customWidth="1"/>
    <col min="4" max="4" width="8.59765625" customWidth="1"/>
    <col min="5" max="5" width="13.3984375" customWidth="1"/>
    <col min="6" max="6" width="14.5" customWidth="1"/>
    <col min="7" max="26" width="8.59765625" customWidth="1"/>
  </cols>
  <sheetData>
    <row r="1" spans="1:26" ht="13.5" customHeight="1">
      <c r="A1" s="54"/>
      <c r="B1" s="54"/>
      <c r="C1" s="54"/>
      <c r="D1" s="54"/>
      <c r="E1" s="54"/>
      <c r="F1" s="54"/>
      <c r="G1" s="1"/>
      <c r="H1" s="1"/>
      <c r="I1" s="1"/>
      <c r="J1" s="1"/>
      <c r="K1" s="1"/>
      <c r="L1" s="1"/>
      <c r="M1" s="1"/>
      <c r="N1" s="1"/>
      <c r="O1" s="1"/>
      <c r="P1" s="1"/>
      <c r="Q1" s="1"/>
      <c r="R1" s="1"/>
      <c r="S1" s="1"/>
      <c r="T1" s="1"/>
      <c r="U1" s="1"/>
      <c r="V1" s="1"/>
      <c r="W1" s="1"/>
      <c r="X1" s="1"/>
      <c r="Y1" s="1"/>
      <c r="Z1" s="1"/>
    </row>
    <row r="2" spans="1:26" ht="13.5" customHeight="1">
      <c r="A2" s="55"/>
      <c r="B2" s="55"/>
      <c r="C2" s="56"/>
      <c r="D2" s="56"/>
      <c r="E2" s="56"/>
      <c r="F2" s="56"/>
      <c r="G2" s="1"/>
      <c r="H2" s="1"/>
      <c r="I2" s="1"/>
      <c r="J2" s="1"/>
      <c r="K2" s="1"/>
      <c r="L2" s="1"/>
      <c r="M2" s="1"/>
      <c r="N2" s="1"/>
      <c r="O2" s="1"/>
      <c r="P2" s="1"/>
      <c r="Q2" s="1"/>
      <c r="R2" s="1"/>
      <c r="S2" s="1"/>
      <c r="T2" s="1"/>
      <c r="U2" s="1"/>
      <c r="V2" s="1"/>
      <c r="W2" s="1"/>
      <c r="X2" s="1"/>
      <c r="Y2" s="1"/>
      <c r="Z2" s="1"/>
    </row>
    <row r="3" spans="1:26" ht="13.5" customHeight="1">
      <c r="A3" s="55"/>
      <c r="B3" s="55"/>
      <c r="C3" s="57"/>
      <c r="D3" s="57"/>
      <c r="E3" s="57"/>
      <c r="F3" s="57"/>
      <c r="G3" s="1"/>
      <c r="H3" s="1"/>
      <c r="I3" s="1"/>
      <c r="J3" s="1"/>
      <c r="K3" s="1"/>
      <c r="L3" s="1"/>
      <c r="M3" s="1"/>
      <c r="N3" s="1"/>
      <c r="O3" s="1"/>
      <c r="P3" s="1"/>
      <c r="Q3" s="1"/>
      <c r="R3" s="1"/>
      <c r="S3" s="1"/>
      <c r="T3" s="1"/>
      <c r="U3" s="1"/>
      <c r="V3" s="1"/>
      <c r="W3" s="1"/>
      <c r="X3" s="1"/>
      <c r="Y3" s="1"/>
      <c r="Z3" s="1"/>
    </row>
    <row r="4" spans="1:26" ht="13.5" customHeight="1">
      <c r="A4" s="55"/>
      <c r="B4" s="55"/>
      <c r="C4" s="58"/>
      <c r="D4" s="58"/>
      <c r="E4" s="58"/>
      <c r="F4" s="58"/>
      <c r="G4" s="1"/>
      <c r="H4" s="1"/>
      <c r="I4" s="1"/>
      <c r="J4" s="1"/>
      <c r="K4" s="1"/>
      <c r="L4" s="1"/>
      <c r="M4" s="1"/>
      <c r="N4" s="1"/>
      <c r="O4" s="1"/>
      <c r="P4" s="1"/>
      <c r="Q4" s="1"/>
      <c r="R4" s="1"/>
      <c r="S4" s="1"/>
      <c r="T4" s="1"/>
      <c r="U4" s="1"/>
      <c r="V4" s="1"/>
      <c r="W4" s="1"/>
      <c r="X4" s="1"/>
      <c r="Y4" s="1"/>
      <c r="Z4" s="1"/>
    </row>
    <row r="5" spans="1:26" ht="13.5" customHeight="1">
      <c r="A5" s="2" t="s">
        <v>0</v>
      </c>
      <c r="B5" s="1" t="s">
        <v>15</v>
      </c>
      <c r="C5" s="58"/>
      <c r="D5" s="58"/>
      <c r="E5" s="58"/>
      <c r="F5" s="58"/>
      <c r="G5" s="1"/>
      <c r="H5" s="1"/>
      <c r="I5" s="1"/>
      <c r="J5" s="1"/>
      <c r="K5" s="1"/>
      <c r="L5" s="1"/>
      <c r="M5" s="1"/>
      <c r="N5" s="1"/>
      <c r="O5" s="1"/>
      <c r="P5" s="1"/>
      <c r="Q5" s="1"/>
      <c r="R5" s="1"/>
      <c r="S5" s="1"/>
      <c r="T5" s="1"/>
      <c r="U5" s="1"/>
      <c r="V5" s="1"/>
      <c r="W5" s="1"/>
      <c r="X5" s="1"/>
      <c r="Y5" s="1"/>
      <c r="Z5" s="1"/>
    </row>
    <row r="6" spans="1:26" ht="13.5" customHeight="1">
      <c r="A6" s="55" t="s">
        <v>172</v>
      </c>
      <c r="B6" s="129">
        <f>F17</f>
        <v>200</v>
      </c>
      <c r="C6" s="56"/>
      <c r="D6" s="57"/>
      <c r="E6" s="57"/>
      <c r="F6" s="57"/>
      <c r="G6" s="1"/>
      <c r="H6" s="1"/>
      <c r="I6" s="1"/>
      <c r="J6" s="1"/>
      <c r="K6" s="1"/>
      <c r="L6" s="1"/>
      <c r="M6" s="1"/>
      <c r="N6" s="1"/>
      <c r="O6" s="1"/>
      <c r="P6" s="1"/>
      <c r="Q6" s="1"/>
      <c r="R6" s="1"/>
      <c r="S6" s="1"/>
      <c r="T6" s="1"/>
      <c r="U6" s="1"/>
      <c r="V6" s="1"/>
      <c r="W6" s="1"/>
      <c r="X6" s="1"/>
      <c r="Y6" s="1"/>
      <c r="Z6" s="1"/>
    </row>
    <row r="7" spans="1:26" ht="13.5" customHeight="1">
      <c r="A7" s="130"/>
      <c r="B7" s="59"/>
      <c r="C7" s="59"/>
      <c r="D7" s="57"/>
      <c r="E7" s="57"/>
      <c r="F7" s="57"/>
      <c r="G7" s="1"/>
      <c r="H7" s="1"/>
      <c r="I7" s="1"/>
      <c r="J7" s="1"/>
      <c r="K7" s="1"/>
      <c r="L7" s="1"/>
      <c r="M7" s="1"/>
      <c r="N7" s="1"/>
      <c r="O7" s="1"/>
      <c r="P7" s="1"/>
      <c r="Q7" s="1"/>
      <c r="R7" s="1"/>
      <c r="S7" s="1"/>
      <c r="T7" s="1"/>
      <c r="U7" s="1"/>
      <c r="V7" s="1"/>
      <c r="W7" s="1"/>
      <c r="X7" s="1"/>
      <c r="Y7" s="1"/>
      <c r="Z7" s="1"/>
    </row>
    <row r="8" spans="1:26" ht="27" customHeight="1">
      <c r="A8" s="149" t="s">
        <v>173</v>
      </c>
      <c r="B8" s="147"/>
      <c r="C8" s="147"/>
      <c r="D8" s="147"/>
      <c r="E8" s="147"/>
      <c r="F8" s="147"/>
      <c r="G8" s="1"/>
      <c r="H8" s="1"/>
      <c r="I8" s="1"/>
      <c r="J8" s="1"/>
      <c r="K8" s="1"/>
      <c r="L8" s="1"/>
      <c r="M8" s="1"/>
      <c r="N8" s="1"/>
      <c r="O8" s="1"/>
      <c r="P8" s="1"/>
      <c r="Q8" s="1"/>
      <c r="R8" s="1"/>
      <c r="S8" s="1"/>
      <c r="T8" s="1"/>
      <c r="U8" s="1"/>
      <c r="V8" s="1"/>
      <c r="W8" s="1"/>
      <c r="X8" s="1"/>
      <c r="Y8" s="1"/>
      <c r="Z8" s="1"/>
    </row>
    <row r="9" spans="1:26" ht="13.5" customHeight="1">
      <c r="A9" s="60" t="s">
        <v>174</v>
      </c>
      <c r="B9" s="150" t="s">
        <v>175</v>
      </c>
      <c r="C9" s="151"/>
      <c r="D9" s="150" t="s">
        <v>176</v>
      </c>
      <c r="E9" s="151"/>
      <c r="F9" s="61" t="s">
        <v>177</v>
      </c>
      <c r="G9" s="1"/>
      <c r="H9" s="1"/>
      <c r="I9" s="1"/>
      <c r="J9" s="1"/>
      <c r="K9" s="1"/>
      <c r="L9" s="1"/>
      <c r="M9" s="1"/>
      <c r="N9" s="1"/>
      <c r="O9" s="1"/>
      <c r="P9" s="1"/>
      <c r="Q9" s="1"/>
      <c r="R9" s="1"/>
      <c r="S9" s="1"/>
      <c r="T9" s="1"/>
      <c r="U9" s="1"/>
      <c r="V9" s="1"/>
      <c r="W9" s="1"/>
      <c r="X9" s="1"/>
      <c r="Y9" s="1"/>
      <c r="Z9" s="1"/>
    </row>
    <row r="10" spans="1:26" ht="13.5" customHeight="1">
      <c r="A10" s="62">
        <v>45566</v>
      </c>
      <c r="B10" s="144" t="s">
        <v>178</v>
      </c>
      <c r="C10" s="145"/>
      <c r="D10" s="144" t="s">
        <v>179</v>
      </c>
      <c r="E10" s="145"/>
      <c r="F10" s="63">
        <v>200</v>
      </c>
      <c r="G10" s="146" t="s">
        <v>180</v>
      </c>
      <c r="H10" s="147"/>
      <c r="I10" s="147"/>
      <c r="J10" s="147"/>
      <c r="K10" s="147"/>
      <c r="L10" s="147"/>
      <c r="M10" s="147"/>
      <c r="N10" s="147"/>
      <c r="O10" s="147"/>
      <c r="P10" s="1"/>
      <c r="Q10" s="1"/>
      <c r="R10" s="1"/>
      <c r="S10" s="1"/>
      <c r="T10" s="1"/>
      <c r="U10" s="1"/>
      <c r="V10" s="1"/>
      <c r="W10" s="1"/>
      <c r="X10" s="1"/>
      <c r="Y10" s="1"/>
      <c r="Z10" s="1"/>
    </row>
    <row r="11" spans="1:26" ht="13.5" customHeight="1">
      <c r="A11" s="62">
        <v>45566</v>
      </c>
      <c r="B11" s="142" t="s">
        <v>181</v>
      </c>
      <c r="C11" s="143"/>
      <c r="D11" s="144" t="s">
        <v>182</v>
      </c>
      <c r="E11" s="145"/>
      <c r="F11" s="63"/>
      <c r="G11" s="1"/>
      <c r="H11" s="1"/>
      <c r="I11" s="1"/>
      <c r="J11" s="1"/>
      <c r="K11" s="1"/>
      <c r="L11" s="1"/>
      <c r="M11" s="1"/>
      <c r="N11" s="1"/>
      <c r="O11" s="1"/>
      <c r="P11" s="1"/>
      <c r="Q11" s="1"/>
      <c r="R11" s="1"/>
      <c r="S11" s="1"/>
      <c r="T11" s="1"/>
      <c r="U11" s="1"/>
      <c r="V11" s="1"/>
      <c r="W11" s="1"/>
      <c r="X11" s="1"/>
      <c r="Y11" s="1"/>
      <c r="Z11" s="1"/>
    </row>
    <row r="12" spans="1:26" ht="13.5" customHeight="1">
      <c r="A12" s="62">
        <v>45566</v>
      </c>
      <c r="B12" s="142" t="s">
        <v>183</v>
      </c>
      <c r="C12" s="143"/>
      <c r="D12" s="144"/>
      <c r="E12" s="145"/>
      <c r="F12" s="63"/>
      <c r="G12" s="1"/>
      <c r="H12" s="1"/>
      <c r="I12" s="1"/>
      <c r="J12" s="1"/>
      <c r="K12" s="1"/>
      <c r="L12" s="1"/>
      <c r="M12" s="1"/>
      <c r="N12" s="1"/>
      <c r="O12" s="1"/>
      <c r="P12" s="1"/>
      <c r="Q12" s="1"/>
      <c r="R12" s="1"/>
      <c r="S12" s="1"/>
      <c r="T12" s="1"/>
      <c r="U12" s="1"/>
      <c r="V12" s="1"/>
      <c r="W12" s="1"/>
      <c r="X12" s="1"/>
      <c r="Y12" s="1"/>
      <c r="Z12" s="1"/>
    </row>
    <row r="13" spans="1:26" ht="13.5" customHeight="1">
      <c r="A13" s="62">
        <v>45566</v>
      </c>
      <c r="B13" s="142"/>
      <c r="C13" s="143"/>
      <c r="D13" s="144"/>
      <c r="E13" s="145"/>
      <c r="F13" s="63"/>
      <c r="G13" s="1"/>
      <c r="H13" s="1"/>
      <c r="I13" s="1"/>
      <c r="J13" s="1"/>
      <c r="K13" s="1"/>
      <c r="L13" s="1"/>
      <c r="M13" s="1"/>
      <c r="N13" s="1"/>
      <c r="O13" s="1"/>
      <c r="P13" s="1"/>
      <c r="Q13" s="1"/>
      <c r="R13" s="1"/>
      <c r="S13" s="1"/>
      <c r="T13" s="1"/>
      <c r="U13" s="1"/>
      <c r="V13" s="1"/>
      <c r="W13" s="1"/>
      <c r="X13" s="1"/>
      <c r="Y13" s="1"/>
      <c r="Z13" s="1"/>
    </row>
    <row r="14" spans="1:26" ht="13.5" customHeight="1">
      <c r="A14" s="62">
        <v>45566</v>
      </c>
      <c r="B14" s="142"/>
      <c r="C14" s="143"/>
      <c r="D14" s="144"/>
      <c r="E14" s="145"/>
      <c r="F14" s="63"/>
      <c r="G14" s="1"/>
      <c r="H14" s="1"/>
      <c r="I14" s="1"/>
      <c r="J14" s="1"/>
      <c r="K14" s="1"/>
      <c r="L14" s="1"/>
      <c r="M14" s="1"/>
      <c r="N14" s="1"/>
      <c r="O14" s="1"/>
      <c r="P14" s="1"/>
      <c r="Q14" s="1"/>
      <c r="R14" s="1"/>
      <c r="S14" s="1"/>
      <c r="T14" s="1"/>
      <c r="U14" s="1"/>
      <c r="V14" s="1"/>
      <c r="W14" s="1"/>
      <c r="X14" s="1"/>
      <c r="Y14" s="1"/>
      <c r="Z14" s="1"/>
    </row>
    <row r="15" spans="1:26" ht="13.5" customHeight="1">
      <c r="A15" s="62">
        <v>45566</v>
      </c>
      <c r="B15" s="148"/>
      <c r="C15" s="143"/>
      <c r="D15" s="144"/>
      <c r="E15" s="145"/>
      <c r="F15" s="63"/>
      <c r="G15" s="1"/>
      <c r="H15" s="1"/>
      <c r="I15" s="1"/>
      <c r="J15" s="1"/>
      <c r="K15" s="1"/>
      <c r="L15" s="1"/>
      <c r="M15" s="1"/>
      <c r="N15" s="1"/>
      <c r="O15" s="1"/>
      <c r="P15" s="1"/>
      <c r="Q15" s="1"/>
      <c r="R15" s="1"/>
      <c r="S15" s="1"/>
      <c r="T15" s="1"/>
      <c r="U15" s="1"/>
      <c r="V15" s="1"/>
      <c r="W15" s="1"/>
      <c r="X15" s="1"/>
      <c r="Y15" s="1"/>
      <c r="Z15" s="1"/>
    </row>
    <row r="16" spans="1:26" ht="13.5" customHeight="1">
      <c r="A16" s="62">
        <v>45566</v>
      </c>
      <c r="B16" s="142"/>
      <c r="C16" s="143"/>
      <c r="D16" s="144"/>
      <c r="E16" s="145"/>
      <c r="F16" s="63"/>
      <c r="G16" s="1"/>
      <c r="H16" s="1"/>
      <c r="I16" s="1"/>
      <c r="J16" s="1"/>
      <c r="K16" s="1"/>
      <c r="L16" s="1"/>
      <c r="M16" s="1"/>
      <c r="N16" s="1"/>
      <c r="O16" s="1"/>
      <c r="P16" s="1"/>
      <c r="Q16" s="1"/>
      <c r="R16" s="1"/>
      <c r="S16" s="1"/>
      <c r="T16" s="1"/>
      <c r="U16" s="1"/>
      <c r="V16" s="1"/>
      <c r="W16" s="1"/>
      <c r="X16" s="1"/>
      <c r="Y16" s="1"/>
      <c r="Z16" s="1"/>
    </row>
    <row r="17" spans="1:26" ht="13.5" customHeight="1">
      <c r="A17" s="139" t="s">
        <v>184</v>
      </c>
      <c r="B17" s="140"/>
      <c r="C17" s="140"/>
      <c r="D17" s="140"/>
      <c r="E17" s="141"/>
      <c r="F17" s="131">
        <f>SUM(F10:F16)</f>
        <v>200</v>
      </c>
      <c r="G17" s="1"/>
      <c r="H17" s="1"/>
      <c r="I17" s="1"/>
      <c r="J17" s="1"/>
      <c r="K17" s="1"/>
      <c r="L17" s="1"/>
      <c r="M17" s="1"/>
      <c r="N17" s="1"/>
      <c r="O17" s="1"/>
      <c r="P17" s="1"/>
      <c r="Q17" s="1"/>
      <c r="R17" s="1"/>
      <c r="S17" s="1"/>
      <c r="T17" s="1"/>
      <c r="U17" s="1"/>
      <c r="V17" s="1"/>
      <c r="W17" s="1"/>
      <c r="X17" s="1"/>
      <c r="Y17" s="1"/>
      <c r="Z17" s="1"/>
    </row>
    <row r="18" spans="1:26" ht="13.5" customHeight="1">
      <c r="A18" s="130"/>
      <c r="B18" s="59"/>
      <c r="C18" s="59"/>
      <c r="D18" s="59"/>
      <c r="E18" s="132"/>
      <c r="F18" s="132"/>
      <c r="G18" s="1"/>
      <c r="H18" s="1"/>
      <c r="I18" s="1"/>
      <c r="J18" s="1"/>
      <c r="K18" s="1"/>
      <c r="L18" s="1"/>
      <c r="M18" s="1"/>
      <c r="N18" s="1"/>
      <c r="O18" s="1"/>
      <c r="P18" s="1"/>
      <c r="Q18" s="1"/>
      <c r="R18" s="1"/>
      <c r="S18" s="1"/>
      <c r="T18" s="1"/>
      <c r="U18" s="1"/>
      <c r="V18" s="1"/>
      <c r="W18" s="1"/>
      <c r="X18" s="1"/>
      <c r="Y18" s="1"/>
      <c r="Z18" s="1"/>
    </row>
    <row r="19" spans="1:26"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9">
    <mergeCell ref="A8:F8"/>
    <mergeCell ref="B9:C9"/>
    <mergeCell ref="D9:E9"/>
    <mergeCell ref="B10:C10"/>
    <mergeCell ref="D10:E10"/>
    <mergeCell ref="G10:O10"/>
    <mergeCell ref="D11:E11"/>
    <mergeCell ref="B15:C15"/>
    <mergeCell ref="D15:E15"/>
    <mergeCell ref="B16:C16"/>
    <mergeCell ref="D16:E16"/>
    <mergeCell ref="A17:E17"/>
    <mergeCell ref="B11:C11"/>
    <mergeCell ref="B12:C12"/>
    <mergeCell ref="D12:E12"/>
    <mergeCell ref="B13:C13"/>
    <mergeCell ref="D13:E13"/>
    <mergeCell ref="B14:C14"/>
    <mergeCell ref="D14:E14"/>
  </mergeCells>
  <dataValidations count="1">
    <dataValidation type="list" allowBlank="1" showErrorMessage="1" sqref="D7 D18" xr:uid="{00000000-0002-0000-0600-000001000000}">
      <formula1>$H$2:$H$4</formula1>
    </dataValidation>
  </dataValidations>
  <pageMargins left="0.7" right="0.7" top="0.75" bottom="0.75" header="0" footer="0"/>
  <pageSetup orientation="landscape"/>
  <headerFooter>
    <oddFooter>&amp;L_x000D_#000000 Classified as Confidential</oddFooter>
  </headerFooter>
  <drawing r:id="rId1"/>
  <extLst>
    <ext xmlns:x14="http://schemas.microsoft.com/office/spreadsheetml/2009/9/main" uri="{CCE6A557-97BC-4b89-ADB6-D9C93CAAB3DF}">
      <x14:dataValidations xmlns:xm="http://schemas.microsoft.com/office/excel/2006/main" count="1">
        <x14:dataValidation type="list" allowBlank="1" showErrorMessage="1" xr:uid="{00000000-0002-0000-0600-000000000000}">
          <x14:formula1>
            <xm:f>Key!$H$3:$H$82</xm:f>
          </x14:formula1>
          <xm:sqref>B5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defaultColWidth="12.59765625" defaultRowHeight="15" customHeight="1"/>
  <cols>
    <col min="1" max="1" width="15.5" customWidth="1"/>
    <col min="2" max="2" width="11.8984375" customWidth="1"/>
    <col min="3" max="3" width="9.8984375" customWidth="1"/>
    <col min="4" max="26" width="8.59765625" customWidth="1"/>
  </cols>
  <sheetData>
    <row r="1" spans="1:26" ht="13.5" customHeight="1">
      <c r="A1" s="1"/>
      <c r="B1" s="1"/>
      <c r="C1" s="1"/>
      <c r="D1" s="1"/>
      <c r="E1" s="1"/>
      <c r="F1" s="1"/>
      <c r="G1" s="1"/>
      <c r="H1" s="1"/>
      <c r="I1" s="1"/>
      <c r="J1" s="1"/>
      <c r="K1" s="1"/>
      <c r="L1" s="1"/>
      <c r="M1" s="1"/>
      <c r="N1" s="1"/>
      <c r="O1" s="1"/>
      <c r="P1" s="1"/>
      <c r="Q1" s="1"/>
      <c r="R1" s="1"/>
      <c r="S1" s="1"/>
      <c r="T1" s="1"/>
      <c r="U1" s="1"/>
      <c r="V1" s="1"/>
      <c r="W1" s="1"/>
      <c r="X1" s="1"/>
      <c r="Y1" s="1"/>
      <c r="Z1" s="1"/>
    </row>
    <row r="2" spans="1:26" ht="13.5" customHeight="1">
      <c r="A2" s="1"/>
      <c r="B2" s="1"/>
      <c r="C2" s="1"/>
      <c r="D2" s="1"/>
      <c r="E2" s="1"/>
      <c r="F2" s="1"/>
      <c r="G2" s="1"/>
      <c r="H2" s="1"/>
      <c r="I2" s="1"/>
      <c r="J2" s="1"/>
      <c r="K2" s="1"/>
      <c r="L2" s="1"/>
      <c r="M2" s="1"/>
      <c r="N2" s="1"/>
      <c r="O2" s="1"/>
      <c r="P2" s="1"/>
      <c r="Q2" s="1"/>
      <c r="R2" s="1"/>
      <c r="S2" s="1"/>
      <c r="T2" s="1"/>
      <c r="U2" s="1"/>
      <c r="V2" s="1"/>
      <c r="W2" s="1"/>
      <c r="X2" s="1"/>
      <c r="Y2" s="1"/>
      <c r="Z2" s="1"/>
    </row>
    <row r="3" spans="1:26" ht="13.5" customHeight="1">
      <c r="A3" s="1"/>
      <c r="B3" s="1"/>
      <c r="C3" s="1"/>
      <c r="D3" s="1"/>
      <c r="E3" s="1"/>
      <c r="F3" s="1"/>
      <c r="G3" s="1"/>
      <c r="H3" s="1"/>
      <c r="I3" s="1"/>
      <c r="J3" s="1"/>
      <c r="K3" s="1"/>
      <c r="L3" s="1"/>
      <c r="M3" s="1"/>
      <c r="N3" s="1"/>
      <c r="O3" s="1"/>
      <c r="P3" s="1"/>
      <c r="Q3" s="1"/>
      <c r="R3" s="1"/>
      <c r="S3" s="1"/>
      <c r="T3" s="1"/>
      <c r="U3" s="1"/>
      <c r="V3" s="1"/>
      <c r="W3" s="1"/>
      <c r="X3" s="1"/>
      <c r="Y3" s="1"/>
      <c r="Z3" s="1"/>
    </row>
    <row r="4" spans="1:26" ht="13.5" customHeight="1">
      <c r="A4" s="161"/>
      <c r="B4" s="162"/>
      <c r="C4" s="1"/>
      <c r="D4" s="1"/>
      <c r="E4" s="1"/>
      <c r="F4" s="1"/>
      <c r="G4" s="1"/>
      <c r="H4" s="1"/>
      <c r="I4" s="1"/>
      <c r="J4" s="1"/>
      <c r="K4" s="1"/>
      <c r="L4" s="1"/>
      <c r="M4" s="1"/>
      <c r="N4" s="1"/>
      <c r="O4" s="1"/>
      <c r="P4" s="1"/>
      <c r="Q4" s="1"/>
      <c r="R4" s="1"/>
      <c r="S4" s="1"/>
      <c r="T4" s="1"/>
      <c r="U4" s="1"/>
      <c r="V4" s="1"/>
      <c r="W4" s="1"/>
      <c r="X4" s="1"/>
      <c r="Y4" s="1"/>
      <c r="Z4" s="1"/>
    </row>
    <row r="5" spans="1:26" ht="13.5" customHeight="1">
      <c r="A5" s="2" t="s">
        <v>0</v>
      </c>
      <c r="B5" s="1" t="s">
        <v>15</v>
      </c>
      <c r="C5" s="1"/>
      <c r="D5" s="1"/>
      <c r="E5" s="1"/>
      <c r="F5" s="1"/>
      <c r="G5" s="1"/>
      <c r="H5" s="1"/>
      <c r="I5" s="1"/>
      <c r="J5" s="1"/>
      <c r="K5" s="1"/>
      <c r="L5" s="1"/>
      <c r="M5" s="1"/>
      <c r="N5" s="1"/>
      <c r="O5" s="1"/>
      <c r="P5" s="1"/>
      <c r="Q5" s="1"/>
      <c r="R5" s="1"/>
      <c r="S5" s="1"/>
      <c r="T5" s="1"/>
      <c r="U5" s="1"/>
      <c r="V5" s="1"/>
      <c r="W5" s="1"/>
      <c r="X5" s="1"/>
      <c r="Y5" s="1"/>
      <c r="Z5" s="1"/>
    </row>
    <row r="6" spans="1:26" ht="13.5" customHeight="1">
      <c r="A6" s="55" t="s">
        <v>185</v>
      </c>
      <c r="B6" s="55"/>
      <c r="C6" s="1"/>
      <c r="D6" s="1"/>
      <c r="E6" s="1"/>
      <c r="F6" s="1"/>
      <c r="G6" s="1"/>
      <c r="H6" s="1"/>
      <c r="I6" s="1"/>
      <c r="J6" s="1"/>
      <c r="K6" s="1"/>
      <c r="L6" s="1"/>
      <c r="M6" s="1"/>
      <c r="N6" s="1"/>
      <c r="O6" s="1"/>
      <c r="P6" s="1"/>
      <c r="Q6" s="1"/>
      <c r="R6" s="1"/>
      <c r="S6" s="1"/>
      <c r="T6" s="1"/>
      <c r="U6" s="1"/>
      <c r="V6" s="1"/>
      <c r="W6" s="1"/>
      <c r="X6" s="1"/>
      <c r="Y6" s="1"/>
      <c r="Z6" s="1"/>
    </row>
    <row r="7" spans="1:26" ht="13.5" customHeight="1">
      <c r="A7" s="64" t="s">
        <v>186</v>
      </c>
      <c r="B7" s="64"/>
      <c r="C7" s="1"/>
      <c r="D7" s="1"/>
      <c r="E7" s="1"/>
      <c r="F7" s="1"/>
      <c r="G7" s="1"/>
      <c r="H7" s="1"/>
      <c r="I7" s="1"/>
      <c r="J7" s="1"/>
      <c r="K7" s="1"/>
      <c r="L7" s="1"/>
      <c r="M7" s="1"/>
      <c r="N7" s="1"/>
      <c r="O7" s="1"/>
      <c r="P7" s="1"/>
      <c r="Q7" s="1"/>
      <c r="R7" s="1"/>
      <c r="S7" s="1"/>
      <c r="T7" s="1"/>
      <c r="U7" s="1"/>
      <c r="V7" s="1"/>
      <c r="W7" s="1"/>
      <c r="X7" s="1"/>
      <c r="Y7" s="1"/>
      <c r="Z7" s="1"/>
    </row>
    <row r="8" spans="1:26" ht="13.5" customHeight="1">
      <c r="A8" s="133"/>
      <c r="B8" s="57"/>
      <c r="C8" s="1"/>
      <c r="D8" s="1"/>
      <c r="E8" s="1"/>
      <c r="F8" s="1"/>
      <c r="G8" s="1"/>
      <c r="H8" s="1"/>
      <c r="I8" s="1"/>
      <c r="J8" s="1"/>
      <c r="K8" s="1"/>
      <c r="L8" s="1"/>
      <c r="M8" s="1"/>
      <c r="N8" s="1"/>
      <c r="O8" s="1"/>
      <c r="P8" s="1"/>
      <c r="Q8" s="1"/>
      <c r="R8" s="1"/>
      <c r="S8" s="1"/>
      <c r="T8" s="1"/>
      <c r="U8" s="1"/>
      <c r="V8" s="1"/>
      <c r="W8" s="1"/>
      <c r="X8" s="1"/>
      <c r="Y8" s="1"/>
      <c r="Z8" s="1"/>
    </row>
    <row r="9" spans="1:26" ht="27" customHeight="1">
      <c r="A9" s="163" t="s">
        <v>187</v>
      </c>
      <c r="B9" s="164"/>
      <c r="C9" s="164"/>
      <c r="D9" s="164"/>
      <c r="E9" s="164"/>
      <c r="F9" s="164"/>
      <c r="G9" s="1"/>
      <c r="H9" s="1"/>
      <c r="I9" s="1"/>
      <c r="J9" s="1"/>
      <c r="K9" s="1"/>
      <c r="L9" s="1"/>
      <c r="M9" s="1"/>
      <c r="N9" s="1"/>
      <c r="O9" s="1"/>
      <c r="P9" s="1"/>
      <c r="Q9" s="1"/>
      <c r="R9" s="1"/>
      <c r="S9" s="1"/>
      <c r="T9" s="1"/>
      <c r="U9" s="1"/>
      <c r="V9" s="1"/>
      <c r="W9" s="1"/>
      <c r="X9" s="1"/>
      <c r="Y9" s="1"/>
      <c r="Z9" s="1"/>
    </row>
    <row r="10" spans="1:26" ht="13.5" customHeight="1">
      <c r="A10" s="65" t="s">
        <v>188</v>
      </c>
      <c r="B10" s="65" t="s">
        <v>189</v>
      </c>
      <c r="C10" s="65" t="s">
        <v>190</v>
      </c>
      <c r="D10" s="65" t="s">
        <v>191</v>
      </c>
      <c r="E10" s="65" t="s">
        <v>192</v>
      </c>
      <c r="F10" s="65" t="s">
        <v>193</v>
      </c>
      <c r="G10" s="1"/>
      <c r="H10" s="1"/>
      <c r="I10" s="1"/>
      <c r="J10" s="1"/>
      <c r="K10" s="1"/>
      <c r="L10" s="1"/>
      <c r="M10" s="1"/>
      <c r="N10" s="1"/>
      <c r="O10" s="1"/>
      <c r="P10" s="1"/>
      <c r="Q10" s="1"/>
      <c r="R10" s="1"/>
      <c r="S10" s="1"/>
      <c r="T10" s="1"/>
      <c r="U10" s="1"/>
      <c r="V10" s="1"/>
      <c r="W10" s="1"/>
      <c r="X10" s="1"/>
      <c r="Y10" s="1"/>
      <c r="Z10" s="1"/>
    </row>
    <row r="11" spans="1:26" ht="13.5" customHeight="1">
      <c r="A11" s="65"/>
      <c r="B11" s="65"/>
      <c r="C11" s="65"/>
      <c r="D11" s="65"/>
      <c r="E11" s="65"/>
      <c r="F11" s="65"/>
      <c r="G11" s="1"/>
      <c r="H11" s="1"/>
      <c r="I11" s="1"/>
      <c r="J11" s="1"/>
      <c r="K11" s="1"/>
      <c r="L11" s="1"/>
      <c r="M11" s="1"/>
      <c r="N11" s="1"/>
      <c r="O11" s="1"/>
      <c r="P11" s="1"/>
      <c r="Q11" s="1"/>
      <c r="R11" s="1"/>
      <c r="S11" s="1"/>
      <c r="T11" s="1"/>
      <c r="U11" s="1"/>
      <c r="V11" s="1"/>
      <c r="W11" s="1"/>
      <c r="X11" s="1"/>
      <c r="Y11" s="1"/>
      <c r="Z11" s="1"/>
    </row>
    <row r="12" spans="1:26" ht="13.5" customHeight="1">
      <c r="A12" s="65"/>
      <c r="B12" s="65"/>
      <c r="C12" s="65"/>
      <c r="D12" s="65"/>
      <c r="E12" s="65"/>
      <c r="F12" s="65"/>
      <c r="G12" s="1"/>
      <c r="H12" s="1"/>
      <c r="I12" s="1"/>
      <c r="J12" s="1"/>
      <c r="K12" s="1"/>
      <c r="L12" s="1"/>
      <c r="M12" s="1"/>
      <c r="N12" s="1"/>
      <c r="O12" s="1"/>
      <c r="P12" s="1"/>
      <c r="Q12" s="1"/>
      <c r="R12" s="1"/>
      <c r="S12" s="1"/>
      <c r="T12" s="1"/>
      <c r="U12" s="1"/>
      <c r="V12" s="1"/>
      <c r="W12" s="1"/>
      <c r="X12" s="1"/>
      <c r="Y12" s="1"/>
      <c r="Z12" s="1"/>
    </row>
    <row r="13" spans="1:26" ht="13.5" customHeight="1">
      <c r="A13" s="65"/>
      <c r="B13" s="65"/>
      <c r="C13" s="65"/>
      <c r="D13" s="65"/>
      <c r="E13" s="65"/>
      <c r="F13" s="65"/>
      <c r="G13" s="1"/>
      <c r="H13" s="1"/>
      <c r="I13" s="1"/>
      <c r="J13" s="1"/>
      <c r="K13" s="1"/>
      <c r="L13" s="1"/>
      <c r="M13" s="1"/>
      <c r="N13" s="1"/>
      <c r="O13" s="1"/>
      <c r="P13" s="1"/>
      <c r="Q13" s="1"/>
      <c r="R13" s="1"/>
      <c r="S13" s="1"/>
      <c r="T13" s="1"/>
      <c r="U13" s="1"/>
      <c r="V13" s="1"/>
      <c r="W13" s="1"/>
      <c r="X13" s="1"/>
      <c r="Y13" s="1"/>
      <c r="Z13" s="1"/>
    </row>
    <row r="14" spans="1:26" ht="13.5" customHeight="1">
      <c r="A14" s="66"/>
      <c r="B14" s="67"/>
      <c r="C14" s="67"/>
      <c r="D14" s="68">
        <f>SUM(D11:D13)</f>
        <v>0</v>
      </c>
      <c r="E14" s="67"/>
      <c r="F14" s="69"/>
      <c r="G14" s="1"/>
      <c r="H14" s="1"/>
      <c r="I14" s="1"/>
      <c r="J14" s="1"/>
      <c r="K14" s="1"/>
      <c r="L14" s="1"/>
      <c r="M14" s="1"/>
      <c r="N14" s="1"/>
      <c r="O14" s="1"/>
      <c r="P14" s="1"/>
      <c r="Q14" s="1"/>
      <c r="R14" s="1"/>
      <c r="S14" s="1"/>
      <c r="T14" s="1"/>
      <c r="U14" s="1"/>
      <c r="V14" s="1"/>
      <c r="W14" s="1"/>
      <c r="X14" s="1"/>
      <c r="Y14" s="1"/>
      <c r="Z14" s="1"/>
    </row>
    <row r="15" spans="1:26" ht="13.5" customHeight="1">
      <c r="A15" s="165"/>
      <c r="B15" s="137"/>
      <c r="C15" s="137"/>
      <c r="D15" s="137"/>
      <c r="E15" s="137"/>
      <c r="F15" s="137"/>
      <c r="G15" s="1"/>
      <c r="H15" s="1"/>
      <c r="I15" s="1"/>
      <c r="J15" s="1"/>
      <c r="K15" s="1"/>
      <c r="L15" s="1"/>
      <c r="M15" s="1"/>
      <c r="N15" s="1"/>
      <c r="O15" s="1"/>
      <c r="P15" s="1"/>
      <c r="Q15" s="1"/>
      <c r="R15" s="1"/>
      <c r="S15" s="1"/>
      <c r="T15" s="1"/>
      <c r="U15" s="1"/>
      <c r="V15" s="1"/>
      <c r="W15" s="1"/>
      <c r="X15" s="1"/>
      <c r="Y15" s="1"/>
      <c r="Z15" s="1"/>
    </row>
    <row r="16" spans="1:26" ht="13.5" customHeight="1">
      <c r="A16" s="166" t="s">
        <v>194</v>
      </c>
      <c r="B16" s="167"/>
      <c r="C16" s="167"/>
      <c r="D16" s="167"/>
      <c r="E16" s="167"/>
      <c r="F16" s="168"/>
      <c r="G16" s="1"/>
      <c r="H16" s="1"/>
      <c r="I16" s="1"/>
      <c r="J16" s="1"/>
      <c r="K16" s="1"/>
      <c r="L16" s="1"/>
      <c r="M16" s="1"/>
      <c r="N16" s="1"/>
      <c r="O16" s="1"/>
      <c r="P16" s="1"/>
      <c r="Q16" s="1"/>
      <c r="R16" s="1"/>
      <c r="S16" s="1"/>
      <c r="T16" s="1"/>
      <c r="U16" s="1"/>
      <c r="V16" s="1"/>
      <c r="W16" s="1"/>
      <c r="X16" s="1"/>
      <c r="Y16" s="1"/>
      <c r="Z16" s="1"/>
    </row>
    <row r="17" spans="1:26" ht="13.5" customHeight="1">
      <c r="A17" s="169"/>
      <c r="B17" s="162"/>
      <c r="C17" s="162"/>
      <c r="D17" s="162"/>
      <c r="E17" s="162"/>
      <c r="F17" s="170"/>
      <c r="G17" s="1"/>
      <c r="H17" s="1"/>
      <c r="I17" s="1"/>
      <c r="J17" s="1"/>
      <c r="K17" s="1"/>
      <c r="L17" s="1"/>
      <c r="M17" s="1"/>
      <c r="N17" s="1"/>
      <c r="O17" s="1"/>
      <c r="P17" s="1"/>
      <c r="Q17" s="1"/>
      <c r="R17" s="1"/>
      <c r="S17" s="1"/>
      <c r="T17" s="1"/>
      <c r="U17" s="1"/>
      <c r="V17" s="1"/>
      <c r="W17" s="1"/>
      <c r="X17" s="1"/>
      <c r="Y17" s="1"/>
      <c r="Z17" s="1"/>
    </row>
    <row r="18" spans="1:26" ht="13.5" customHeight="1">
      <c r="A18" s="171"/>
      <c r="B18" s="162"/>
      <c r="C18" s="162"/>
      <c r="D18" s="162"/>
      <c r="E18" s="162"/>
      <c r="F18" s="170"/>
      <c r="G18" s="1"/>
      <c r="H18" s="1"/>
      <c r="I18" s="1"/>
      <c r="J18" s="1"/>
      <c r="K18" s="1"/>
      <c r="L18" s="1"/>
      <c r="M18" s="1"/>
      <c r="N18" s="1"/>
      <c r="O18" s="1"/>
      <c r="P18" s="1"/>
      <c r="Q18" s="1"/>
      <c r="R18" s="1"/>
      <c r="S18" s="1"/>
      <c r="T18" s="1"/>
      <c r="U18" s="1"/>
      <c r="V18" s="1"/>
      <c r="W18" s="1"/>
      <c r="X18" s="1"/>
      <c r="Y18" s="1"/>
      <c r="Z18" s="1"/>
    </row>
    <row r="19" spans="1:26" ht="13.5" customHeight="1">
      <c r="A19" s="172"/>
      <c r="B19" s="137"/>
      <c r="C19" s="137"/>
      <c r="D19" s="137"/>
      <c r="E19" s="137"/>
      <c r="F19" s="173"/>
      <c r="G19" s="1"/>
      <c r="H19" s="1"/>
      <c r="I19" s="1"/>
      <c r="J19" s="1"/>
      <c r="K19" s="1"/>
      <c r="L19" s="1"/>
      <c r="M19" s="1"/>
      <c r="N19" s="1"/>
      <c r="O19" s="1"/>
      <c r="P19" s="1"/>
      <c r="Q19" s="1"/>
      <c r="R19" s="1"/>
      <c r="S19" s="1"/>
      <c r="T19" s="1"/>
      <c r="U19" s="1"/>
      <c r="V19" s="1"/>
      <c r="W19" s="1"/>
      <c r="X19" s="1"/>
      <c r="Y19" s="1"/>
      <c r="Z19" s="1"/>
    </row>
    <row r="20" spans="1:26"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3.5" customHeight="1">
      <c r="A21" s="70" t="s">
        <v>3</v>
      </c>
      <c r="B21" s="152"/>
      <c r="C21" s="153"/>
      <c r="D21" s="153"/>
      <c r="E21" s="153"/>
      <c r="F21" s="154"/>
      <c r="G21" s="1"/>
      <c r="H21" s="1"/>
      <c r="I21" s="1"/>
      <c r="J21" s="1"/>
      <c r="K21" s="1"/>
      <c r="L21" s="1"/>
      <c r="M21" s="1"/>
      <c r="N21" s="1"/>
      <c r="O21" s="1"/>
      <c r="P21" s="1"/>
      <c r="Q21" s="1"/>
      <c r="R21" s="1"/>
      <c r="S21" s="1"/>
      <c r="T21" s="1"/>
      <c r="U21" s="1"/>
      <c r="V21" s="1"/>
      <c r="W21" s="1"/>
      <c r="X21" s="1"/>
      <c r="Y21" s="1"/>
      <c r="Z21" s="1"/>
    </row>
    <row r="22" spans="1:26" ht="13.5" customHeight="1">
      <c r="A22" s="71" t="s">
        <v>195</v>
      </c>
      <c r="B22" s="155"/>
      <c r="C22" s="156"/>
      <c r="D22" s="156"/>
      <c r="E22" s="156"/>
      <c r="F22" s="157"/>
      <c r="G22" s="1"/>
      <c r="H22" s="1"/>
      <c r="I22" s="1"/>
      <c r="J22" s="1"/>
      <c r="K22" s="1"/>
      <c r="L22" s="1"/>
      <c r="M22" s="1"/>
      <c r="N22" s="1"/>
      <c r="O22" s="1"/>
      <c r="P22" s="1"/>
      <c r="Q22" s="1"/>
      <c r="R22" s="1"/>
      <c r="S22" s="1"/>
      <c r="T22" s="1"/>
      <c r="U22" s="1"/>
      <c r="V22" s="1"/>
      <c r="W22" s="1"/>
      <c r="X22" s="1"/>
      <c r="Y22" s="1"/>
      <c r="Z22" s="1"/>
    </row>
    <row r="23" spans="1:26" ht="13.5" customHeight="1">
      <c r="A23" s="72" t="s">
        <v>196</v>
      </c>
      <c r="B23" s="158"/>
      <c r="C23" s="159"/>
      <c r="D23" s="159"/>
      <c r="E23" s="159"/>
      <c r="F23" s="160"/>
      <c r="G23" s="1"/>
      <c r="H23" s="1"/>
      <c r="I23" s="1"/>
      <c r="J23" s="1"/>
      <c r="K23" s="1"/>
      <c r="L23" s="1"/>
      <c r="M23" s="1"/>
      <c r="N23" s="1"/>
      <c r="O23" s="1"/>
      <c r="P23" s="1"/>
      <c r="Q23" s="1"/>
      <c r="R23" s="1"/>
      <c r="S23" s="1"/>
      <c r="T23" s="1"/>
      <c r="U23" s="1"/>
      <c r="V23" s="1"/>
      <c r="W23" s="1"/>
      <c r="X23" s="1"/>
      <c r="Y23" s="1"/>
      <c r="Z23" s="1"/>
    </row>
    <row r="24" spans="1:26"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
    <mergeCell ref="B21:F21"/>
    <mergeCell ref="B22:F22"/>
    <mergeCell ref="B23:F23"/>
    <mergeCell ref="A4:B4"/>
    <mergeCell ref="A9:F9"/>
    <mergeCell ref="A15:F15"/>
    <mergeCell ref="A16:F16"/>
    <mergeCell ref="A17:F19"/>
  </mergeCells>
  <dataValidations count="1">
    <dataValidation type="list" allowBlank="1" showErrorMessage="1" sqref="A10" xr:uid="{00000000-0002-0000-0700-000001000000}">
      <formula1>$H$2:$H$12</formula1>
    </dataValidation>
  </dataValidations>
  <pageMargins left="0.7" right="0.7" top="0.75" bottom="0.75" header="0" footer="0"/>
  <pageSetup orientation="landscape"/>
  <headerFooter>
    <oddFooter>&amp;L_x000D_#000000 Classified as Confidential</oddFooter>
  </headerFooter>
  <drawing r:id="rId1"/>
  <extLst>
    <ext xmlns:x14="http://schemas.microsoft.com/office/spreadsheetml/2009/9/main" uri="{CCE6A557-97BC-4b89-ADB6-D9C93CAAB3DF}">
      <x14:dataValidations xmlns:xm="http://schemas.microsoft.com/office/excel/2006/main" count="2">
        <x14:dataValidation type="list" allowBlank="1" showErrorMessage="1" xr:uid="{00000000-0002-0000-0700-000000000000}">
          <x14:formula1>
            <xm:f>Key!$H$3:$H$80</xm:f>
          </x14:formula1>
          <xm:sqref>B5</xm:sqref>
        </x14:dataValidation>
        <x14:dataValidation type="list" allowBlank="1" showErrorMessage="1" xr:uid="{00000000-0002-0000-0700-000002000000}">
          <x14:formula1>
            <xm:f>Key!$F$33:$F$40</xm:f>
          </x14:formula1>
          <xm:sqref>A11:A14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sheetPr>
  <dimension ref="A1:Z1000"/>
  <sheetViews>
    <sheetView workbookViewId="0"/>
  </sheetViews>
  <sheetFormatPr defaultColWidth="12.59765625" defaultRowHeight="15" customHeight="1"/>
  <cols>
    <col min="1" max="1" width="8.59765625" customWidth="1"/>
    <col min="2" max="2" width="25.5" customWidth="1"/>
    <col min="3" max="3" width="8.59765625" customWidth="1"/>
    <col min="4" max="4" width="19.3984375" customWidth="1"/>
    <col min="5" max="5" width="8.59765625" customWidth="1"/>
    <col min="6" max="6" width="21.8984375" customWidth="1"/>
    <col min="7" max="26" width="8.59765625" customWidth="1"/>
  </cols>
  <sheetData>
    <row r="1" spans="1:26" ht="14.25" customHeight="1">
      <c r="A1" s="73"/>
      <c r="B1" s="73"/>
      <c r="C1" s="73"/>
      <c r="D1" s="73"/>
      <c r="E1" s="73"/>
      <c r="F1" s="73"/>
      <c r="G1" s="73"/>
      <c r="H1" s="73"/>
      <c r="I1" s="73"/>
      <c r="J1" s="73"/>
      <c r="K1" s="73"/>
      <c r="L1" s="73"/>
      <c r="M1" s="73"/>
      <c r="N1" s="73"/>
      <c r="O1" s="73"/>
      <c r="P1" s="73"/>
      <c r="Q1" s="73"/>
      <c r="R1" s="73"/>
      <c r="S1" s="73"/>
      <c r="T1" s="73"/>
      <c r="U1" s="73"/>
      <c r="V1" s="73"/>
      <c r="W1" s="73"/>
      <c r="X1" s="73"/>
      <c r="Y1" s="73"/>
      <c r="Z1" s="73"/>
    </row>
    <row r="2" spans="1:26" ht="14.25" customHeight="1">
      <c r="A2" s="73"/>
      <c r="B2" s="74" t="s">
        <v>25</v>
      </c>
      <c r="C2" s="73"/>
      <c r="D2" s="75" t="s">
        <v>197</v>
      </c>
      <c r="E2" s="73"/>
      <c r="F2" s="73" t="s">
        <v>7</v>
      </c>
      <c r="G2" s="73"/>
      <c r="H2" s="73" t="s">
        <v>198</v>
      </c>
      <c r="I2" s="73"/>
      <c r="J2" s="73"/>
      <c r="K2" s="75" t="s">
        <v>17</v>
      </c>
      <c r="L2" s="73"/>
      <c r="M2" s="73"/>
      <c r="N2" s="73"/>
      <c r="O2" s="73"/>
      <c r="P2" s="73"/>
      <c r="Q2" s="73"/>
      <c r="R2" s="73"/>
      <c r="S2" s="73"/>
      <c r="T2" s="73"/>
      <c r="U2" s="73"/>
      <c r="V2" s="73"/>
      <c r="W2" s="73"/>
      <c r="X2" s="73"/>
      <c r="Y2" s="73"/>
      <c r="Z2" s="73"/>
    </row>
    <row r="3" spans="1:26" ht="14.25" customHeight="1">
      <c r="A3" s="73"/>
      <c r="B3" s="74" t="s">
        <v>199</v>
      </c>
      <c r="C3" s="73"/>
      <c r="D3" s="76" t="s">
        <v>200</v>
      </c>
      <c r="E3" s="73"/>
      <c r="F3" s="77" t="s">
        <v>16</v>
      </c>
      <c r="G3" s="73"/>
      <c r="H3" s="78" t="s">
        <v>201</v>
      </c>
      <c r="I3" s="73"/>
      <c r="J3" s="73"/>
      <c r="K3" s="79" t="s">
        <v>28</v>
      </c>
      <c r="L3" s="73"/>
      <c r="M3" s="73"/>
      <c r="N3" s="73"/>
      <c r="O3" s="73"/>
      <c r="P3" s="73"/>
      <c r="Q3" s="73"/>
      <c r="R3" s="73"/>
      <c r="S3" s="73"/>
      <c r="T3" s="73"/>
      <c r="U3" s="73"/>
      <c r="V3" s="73"/>
      <c r="W3" s="73"/>
      <c r="X3" s="73"/>
      <c r="Y3" s="73"/>
      <c r="Z3" s="73"/>
    </row>
    <row r="4" spans="1:26" ht="14.25" customHeight="1">
      <c r="A4" s="73"/>
      <c r="B4" s="74" t="s">
        <v>202</v>
      </c>
      <c r="C4" s="73"/>
      <c r="D4" s="80" t="s">
        <v>203</v>
      </c>
      <c r="E4" s="73"/>
      <c r="F4" s="134" t="s">
        <v>31</v>
      </c>
      <c r="G4" s="73"/>
      <c r="H4" s="81" t="s">
        <v>204</v>
      </c>
      <c r="I4" s="73"/>
      <c r="J4" s="73"/>
      <c r="K4" s="82" t="s">
        <v>17</v>
      </c>
      <c r="L4" s="73"/>
      <c r="M4" s="73"/>
      <c r="N4" s="73"/>
      <c r="O4" s="73"/>
      <c r="P4" s="73"/>
      <c r="Q4" s="73"/>
      <c r="R4" s="73"/>
      <c r="S4" s="73"/>
      <c r="T4" s="73"/>
      <c r="U4" s="73"/>
      <c r="V4" s="73"/>
      <c r="W4" s="73"/>
      <c r="X4" s="73"/>
      <c r="Y4" s="73"/>
      <c r="Z4" s="73"/>
    </row>
    <row r="5" spans="1:26" ht="14.25" customHeight="1">
      <c r="A5" s="73"/>
      <c r="B5" s="74" t="s">
        <v>205</v>
      </c>
      <c r="C5" s="73"/>
      <c r="D5" s="76" t="s">
        <v>206</v>
      </c>
      <c r="E5" s="73"/>
      <c r="F5" s="135" t="s">
        <v>207</v>
      </c>
      <c r="G5" s="73"/>
      <c r="H5" s="83" t="s">
        <v>208</v>
      </c>
      <c r="I5" s="73"/>
      <c r="J5" s="73"/>
      <c r="K5" s="73"/>
      <c r="L5" s="73"/>
      <c r="M5" s="73"/>
      <c r="N5" s="73"/>
      <c r="O5" s="73"/>
      <c r="P5" s="73"/>
      <c r="Q5" s="73"/>
      <c r="R5" s="73"/>
      <c r="S5" s="73"/>
      <c r="T5" s="73"/>
      <c r="U5" s="73"/>
      <c r="V5" s="73"/>
      <c r="W5" s="73"/>
      <c r="X5" s="73"/>
      <c r="Y5" s="73"/>
      <c r="Z5" s="73"/>
    </row>
    <row r="6" spans="1:26" ht="14.25" customHeight="1">
      <c r="A6" s="73"/>
      <c r="B6" s="74" t="s">
        <v>209</v>
      </c>
      <c r="C6" s="73"/>
      <c r="D6" s="80" t="s">
        <v>210</v>
      </c>
      <c r="E6" s="73"/>
      <c r="F6" s="134" t="s">
        <v>211</v>
      </c>
      <c r="G6" s="73"/>
      <c r="H6" s="84" t="s">
        <v>212</v>
      </c>
      <c r="I6" s="73"/>
      <c r="J6" s="73"/>
      <c r="K6" s="73"/>
      <c r="L6" s="73"/>
      <c r="M6" s="73"/>
      <c r="N6" s="73"/>
      <c r="O6" s="73"/>
      <c r="P6" s="73"/>
      <c r="Q6" s="73"/>
      <c r="R6" s="73"/>
      <c r="S6" s="73"/>
      <c r="T6" s="73"/>
      <c r="U6" s="73"/>
      <c r="V6" s="73"/>
      <c r="W6" s="73"/>
      <c r="X6" s="73"/>
      <c r="Y6" s="73"/>
      <c r="Z6" s="73"/>
    </row>
    <row r="7" spans="1:26" ht="14.25" customHeight="1">
      <c r="A7" s="73"/>
      <c r="B7" s="74" t="s">
        <v>213</v>
      </c>
      <c r="C7" s="73"/>
      <c r="D7" s="76" t="s">
        <v>214</v>
      </c>
      <c r="E7" s="73"/>
      <c r="F7" s="135" t="s">
        <v>48</v>
      </c>
      <c r="G7" s="73"/>
      <c r="H7" s="81" t="s">
        <v>215</v>
      </c>
      <c r="I7" s="73"/>
      <c r="J7" s="73"/>
      <c r="K7" s="73"/>
      <c r="L7" s="73"/>
      <c r="M7" s="73"/>
      <c r="N7" s="73"/>
      <c r="O7" s="73"/>
      <c r="P7" s="73"/>
      <c r="Q7" s="73"/>
      <c r="R7" s="73"/>
      <c r="S7" s="73"/>
      <c r="T7" s="73"/>
      <c r="U7" s="73"/>
      <c r="V7" s="73"/>
      <c r="W7" s="73"/>
      <c r="X7" s="73"/>
      <c r="Y7" s="73"/>
      <c r="Z7" s="73"/>
    </row>
    <row r="8" spans="1:26" ht="14.25" customHeight="1">
      <c r="A8" s="73"/>
      <c r="B8" s="74" t="s">
        <v>216</v>
      </c>
      <c r="C8" s="73"/>
      <c r="D8" s="80" t="s">
        <v>217</v>
      </c>
      <c r="E8" s="73"/>
      <c r="F8" s="134" t="s">
        <v>218</v>
      </c>
      <c r="G8" s="73"/>
      <c r="H8" s="78" t="s">
        <v>219</v>
      </c>
      <c r="I8" s="73"/>
      <c r="J8" s="73"/>
      <c r="K8" s="73" t="s">
        <v>220</v>
      </c>
      <c r="L8" s="73"/>
      <c r="M8" s="73"/>
      <c r="N8" s="73"/>
      <c r="O8" s="73"/>
      <c r="P8" s="73"/>
      <c r="Q8" s="73"/>
      <c r="R8" s="73"/>
      <c r="S8" s="73"/>
      <c r="T8" s="73"/>
      <c r="U8" s="73"/>
      <c r="V8" s="73"/>
      <c r="W8" s="73"/>
      <c r="X8" s="73"/>
      <c r="Y8" s="73"/>
      <c r="Z8" s="73"/>
    </row>
    <row r="9" spans="1:26" ht="14.25" customHeight="1">
      <c r="A9" s="73"/>
      <c r="B9" s="74" t="s">
        <v>221</v>
      </c>
      <c r="C9" s="73"/>
      <c r="D9" s="76" t="s">
        <v>222</v>
      </c>
      <c r="E9" s="73"/>
      <c r="F9" s="135" t="s">
        <v>223</v>
      </c>
      <c r="G9" s="73"/>
      <c r="H9" s="85" t="s">
        <v>224</v>
      </c>
      <c r="I9" s="73"/>
      <c r="J9" s="73"/>
      <c r="K9" s="73" t="s">
        <v>179</v>
      </c>
      <c r="L9" s="73"/>
      <c r="M9" s="73"/>
      <c r="N9" s="73"/>
      <c r="O9" s="73"/>
      <c r="P9" s="73"/>
      <c r="Q9" s="73"/>
      <c r="R9" s="73"/>
      <c r="S9" s="73"/>
      <c r="T9" s="73"/>
      <c r="U9" s="73"/>
      <c r="V9" s="73"/>
      <c r="W9" s="73"/>
      <c r="X9" s="73"/>
      <c r="Y9" s="73"/>
      <c r="Z9" s="73"/>
    </row>
    <row r="10" spans="1:26" ht="14.25" customHeight="1">
      <c r="A10" s="73"/>
      <c r="B10" s="74" t="s">
        <v>225</v>
      </c>
      <c r="C10" s="73"/>
      <c r="D10" s="80" t="s">
        <v>226</v>
      </c>
      <c r="E10" s="73"/>
      <c r="F10" s="134" t="s">
        <v>227</v>
      </c>
      <c r="G10" s="73"/>
      <c r="H10" s="86" t="s">
        <v>228</v>
      </c>
      <c r="I10" s="73"/>
      <c r="J10" s="73"/>
      <c r="K10" s="73"/>
      <c r="L10" s="73"/>
      <c r="M10" s="73"/>
      <c r="N10" s="73"/>
      <c r="O10" s="73"/>
      <c r="P10" s="73"/>
      <c r="Q10" s="73"/>
      <c r="R10" s="73"/>
      <c r="S10" s="73"/>
      <c r="T10" s="73"/>
      <c r="U10" s="73"/>
      <c r="V10" s="73"/>
      <c r="W10" s="73"/>
      <c r="X10" s="73"/>
      <c r="Y10" s="73"/>
      <c r="Z10" s="73"/>
    </row>
    <row r="11" spans="1:26" ht="14.25" customHeight="1">
      <c r="A11" s="73"/>
      <c r="B11" s="74" t="s">
        <v>229</v>
      </c>
      <c r="C11" s="73"/>
      <c r="D11" s="76" t="s">
        <v>230</v>
      </c>
      <c r="E11" s="73"/>
      <c r="F11" s="135" t="s">
        <v>231</v>
      </c>
      <c r="G11" s="73"/>
      <c r="H11" s="81" t="s">
        <v>232</v>
      </c>
      <c r="I11" s="73"/>
      <c r="J11" s="73"/>
      <c r="K11" s="73" t="s">
        <v>233</v>
      </c>
      <c r="L11" s="73"/>
      <c r="M11" s="73"/>
      <c r="N11" s="73"/>
      <c r="O11" s="73"/>
      <c r="P11" s="73"/>
      <c r="Q11" s="73"/>
      <c r="R11" s="73"/>
      <c r="S11" s="73"/>
      <c r="T11" s="73"/>
      <c r="U11" s="73"/>
      <c r="V11" s="73"/>
      <c r="W11" s="73"/>
      <c r="X11" s="73"/>
      <c r="Y11" s="73"/>
      <c r="Z11" s="73"/>
    </row>
    <row r="12" spans="1:26" ht="14.25" customHeight="1">
      <c r="A12" s="73"/>
      <c r="B12" s="74" t="s">
        <v>234</v>
      </c>
      <c r="C12" s="73"/>
      <c r="D12" s="73"/>
      <c r="E12" s="73"/>
      <c r="F12" s="134" t="s">
        <v>235</v>
      </c>
      <c r="G12" s="73"/>
      <c r="H12" s="87" t="s">
        <v>236</v>
      </c>
      <c r="I12" s="73"/>
      <c r="J12" s="73"/>
      <c r="K12" s="73" t="s">
        <v>237</v>
      </c>
      <c r="L12" s="73"/>
      <c r="M12" s="73"/>
      <c r="N12" s="73"/>
      <c r="O12" s="73"/>
      <c r="P12" s="73"/>
      <c r="Q12" s="73"/>
      <c r="R12" s="73"/>
      <c r="S12" s="73"/>
      <c r="T12" s="73"/>
      <c r="U12" s="73"/>
      <c r="V12" s="73"/>
      <c r="W12" s="73"/>
      <c r="X12" s="73"/>
      <c r="Y12" s="73"/>
      <c r="Z12" s="73"/>
    </row>
    <row r="13" spans="1:26" ht="14.25" customHeight="1">
      <c r="A13" s="73"/>
      <c r="B13" s="74" t="s">
        <v>238</v>
      </c>
      <c r="C13" s="73"/>
      <c r="D13" s="73"/>
      <c r="E13" s="73"/>
      <c r="F13" s="135" t="s">
        <v>239</v>
      </c>
      <c r="G13" s="73"/>
      <c r="H13" s="87" t="s">
        <v>240</v>
      </c>
      <c r="I13" s="73"/>
      <c r="J13" s="73"/>
      <c r="K13" s="73"/>
      <c r="L13" s="73"/>
      <c r="M13" s="73"/>
      <c r="N13" s="73"/>
      <c r="O13" s="73"/>
      <c r="P13" s="73"/>
      <c r="Q13" s="73"/>
      <c r="R13" s="73"/>
      <c r="S13" s="73"/>
      <c r="T13" s="73"/>
      <c r="U13" s="73"/>
      <c r="V13" s="73"/>
      <c r="W13" s="73"/>
      <c r="X13" s="73"/>
      <c r="Y13" s="73"/>
      <c r="Z13" s="73"/>
    </row>
    <row r="14" spans="1:26" ht="14.25" customHeight="1">
      <c r="A14" s="73"/>
      <c r="B14" s="74" t="s">
        <v>241</v>
      </c>
      <c r="C14" s="73"/>
      <c r="D14" s="88"/>
      <c r="E14" s="73"/>
      <c r="F14" s="134" t="s">
        <v>242</v>
      </c>
      <c r="G14" s="73"/>
      <c r="H14" s="89" t="s">
        <v>243</v>
      </c>
      <c r="I14" s="73"/>
      <c r="J14" s="73"/>
      <c r="K14" s="73"/>
      <c r="L14" s="73"/>
      <c r="M14" s="73"/>
      <c r="N14" s="73"/>
      <c r="O14" s="73"/>
      <c r="P14" s="73"/>
      <c r="Q14" s="73"/>
      <c r="R14" s="73"/>
      <c r="S14" s="73"/>
      <c r="T14" s="73"/>
      <c r="U14" s="73"/>
      <c r="V14" s="73"/>
      <c r="W14" s="73"/>
      <c r="X14" s="73"/>
      <c r="Y14" s="73"/>
      <c r="Z14" s="73"/>
    </row>
    <row r="15" spans="1:26" ht="14.25" customHeight="1">
      <c r="A15" s="73"/>
      <c r="B15" s="74" t="s">
        <v>14</v>
      </c>
      <c r="C15" s="73"/>
      <c r="D15" s="90"/>
      <c r="E15" s="73"/>
      <c r="F15" s="135" t="s">
        <v>244</v>
      </c>
      <c r="G15" s="73"/>
      <c r="H15" s="87" t="s">
        <v>245</v>
      </c>
      <c r="I15" s="73"/>
      <c r="J15" s="73"/>
      <c r="K15" s="73"/>
      <c r="L15" s="73"/>
      <c r="M15" s="73"/>
      <c r="N15" s="73"/>
      <c r="O15" s="73"/>
      <c r="P15" s="73"/>
      <c r="Q15" s="73"/>
      <c r="R15" s="73"/>
      <c r="S15" s="73"/>
      <c r="T15" s="73"/>
      <c r="U15" s="73"/>
      <c r="V15" s="73"/>
      <c r="W15" s="73"/>
      <c r="X15" s="73"/>
      <c r="Y15" s="73"/>
      <c r="Z15" s="73"/>
    </row>
    <row r="16" spans="1:26" ht="14.25" customHeight="1">
      <c r="A16" s="73"/>
      <c r="B16" s="74" t="s">
        <v>246</v>
      </c>
      <c r="C16" s="73"/>
      <c r="D16" s="90"/>
      <c r="E16" s="73"/>
      <c r="F16" s="134" t="s">
        <v>247</v>
      </c>
      <c r="G16" s="73"/>
      <c r="H16" s="91" t="s">
        <v>248</v>
      </c>
      <c r="I16" s="73"/>
      <c r="J16" s="73"/>
      <c r="K16" s="73"/>
      <c r="L16" s="73"/>
      <c r="M16" s="73"/>
      <c r="N16" s="73"/>
      <c r="O16" s="73"/>
      <c r="P16" s="73"/>
      <c r="Q16" s="73"/>
      <c r="R16" s="73"/>
      <c r="S16" s="73"/>
      <c r="T16" s="73"/>
      <c r="U16" s="73"/>
      <c r="V16" s="73"/>
      <c r="W16" s="73"/>
      <c r="X16" s="73"/>
      <c r="Y16" s="73"/>
      <c r="Z16" s="73"/>
    </row>
    <row r="17" spans="1:26" ht="14.25" customHeight="1">
      <c r="A17" s="73"/>
      <c r="B17" s="74" t="s">
        <v>249</v>
      </c>
      <c r="C17" s="73"/>
      <c r="D17" s="90"/>
      <c r="E17" s="73"/>
      <c r="F17" s="135" t="s">
        <v>250</v>
      </c>
      <c r="G17" s="73"/>
      <c r="H17" s="87" t="s">
        <v>251</v>
      </c>
      <c r="I17" s="73"/>
      <c r="J17" s="73"/>
      <c r="K17" s="73"/>
      <c r="L17" s="73"/>
      <c r="M17" s="73"/>
      <c r="N17" s="73"/>
      <c r="O17" s="73"/>
      <c r="P17" s="73"/>
      <c r="Q17" s="73"/>
      <c r="R17" s="73"/>
      <c r="S17" s="73"/>
      <c r="T17" s="73"/>
      <c r="U17" s="73"/>
      <c r="V17" s="73"/>
      <c r="W17" s="73"/>
      <c r="X17" s="73"/>
      <c r="Y17" s="73"/>
      <c r="Z17" s="73"/>
    </row>
    <row r="18" spans="1:26" ht="14.25" customHeight="1">
      <c r="A18" s="73"/>
      <c r="B18" s="74" t="s">
        <v>252</v>
      </c>
      <c r="C18" s="73"/>
      <c r="D18" s="90"/>
      <c r="E18" s="73"/>
      <c r="F18" s="134" t="s">
        <v>253</v>
      </c>
      <c r="G18" s="73"/>
      <c r="H18" s="91" t="s">
        <v>254</v>
      </c>
      <c r="I18" s="73"/>
      <c r="J18" s="73"/>
      <c r="K18" s="73"/>
      <c r="L18" s="73"/>
      <c r="M18" s="73"/>
      <c r="N18" s="73"/>
      <c r="O18" s="73"/>
      <c r="P18" s="73"/>
      <c r="Q18" s="73"/>
      <c r="R18" s="73"/>
      <c r="S18" s="73"/>
      <c r="T18" s="73"/>
      <c r="U18" s="73"/>
      <c r="V18" s="73"/>
      <c r="W18" s="73"/>
      <c r="X18" s="73"/>
      <c r="Y18" s="73"/>
      <c r="Z18" s="73"/>
    </row>
    <row r="19" spans="1:26" ht="14.25" customHeight="1">
      <c r="A19" s="73"/>
      <c r="B19" s="74" t="s">
        <v>255</v>
      </c>
      <c r="C19" s="73"/>
      <c r="D19" s="90"/>
      <c r="E19" s="73"/>
      <c r="F19" s="135" t="s">
        <v>27</v>
      </c>
      <c r="G19" s="73"/>
      <c r="H19" s="92" t="s">
        <v>256</v>
      </c>
      <c r="I19" s="73"/>
      <c r="J19" s="73"/>
      <c r="K19" s="73"/>
      <c r="L19" s="73"/>
      <c r="M19" s="73"/>
      <c r="N19" s="73"/>
      <c r="O19" s="73"/>
      <c r="P19" s="73"/>
      <c r="Q19" s="73"/>
      <c r="R19" s="73"/>
      <c r="S19" s="73"/>
      <c r="T19" s="73"/>
      <c r="U19" s="73"/>
      <c r="V19" s="73"/>
      <c r="W19" s="73"/>
      <c r="X19" s="73"/>
      <c r="Y19" s="73"/>
      <c r="Z19" s="73"/>
    </row>
    <row r="20" spans="1:26" ht="14.25" customHeight="1">
      <c r="A20" s="73"/>
      <c r="B20" s="74" t="s">
        <v>257</v>
      </c>
      <c r="C20" s="73"/>
      <c r="D20" s="90"/>
      <c r="E20" s="73"/>
      <c r="F20" s="134" t="s">
        <v>258</v>
      </c>
      <c r="G20" s="73"/>
      <c r="H20" s="89" t="s">
        <v>259</v>
      </c>
      <c r="I20" s="73"/>
      <c r="J20" s="73"/>
      <c r="K20" s="73"/>
      <c r="L20" s="73"/>
      <c r="M20" s="73"/>
      <c r="N20" s="73"/>
      <c r="O20" s="73"/>
      <c r="P20" s="73"/>
      <c r="Q20" s="73"/>
      <c r="R20" s="73"/>
      <c r="S20" s="73"/>
      <c r="T20" s="73"/>
      <c r="U20" s="73"/>
      <c r="V20" s="73"/>
      <c r="W20" s="73"/>
      <c r="X20" s="73"/>
      <c r="Y20" s="73"/>
      <c r="Z20" s="73"/>
    </row>
    <row r="21" spans="1:26" ht="14.25" customHeight="1">
      <c r="A21" s="73"/>
      <c r="B21" s="74" t="s">
        <v>260</v>
      </c>
      <c r="C21" s="73"/>
      <c r="D21" s="90"/>
      <c r="E21" s="73"/>
      <c r="F21" s="135" t="s">
        <v>69</v>
      </c>
      <c r="G21" s="73"/>
      <c r="H21" s="81" t="s">
        <v>261</v>
      </c>
      <c r="I21" s="73"/>
      <c r="J21" s="73"/>
      <c r="K21" s="73"/>
      <c r="L21" s="73"/>
      <c r="M21" s="73"/>
      <c r="N21" s="73"/>
      <c r="O21" s="73"/>
      <c r="P21" s="73"/>
      <c r="Q21" s="73"/>
      <c r="R21" s="73"/>
      <c r="S21" s="73"/>
      <c r="T21" s="73"/>
      <c r="U21" s="73"/>
      <c r="V21" s="73"/>
      <c r="W21" s="73"/>
      <c r="X21" s="73"/>
      <c r="Y21" s="73"/>
      <c r="Z21" s="73"/>
    </row>
    <row r="22" spans="1:26" ht="14.25" customHeight="1">
      <c r="A22" s="73"/>
      <c r="B22" s="74" t="s">
        <v>262</v>
      </c>
      <c r="C22" s="73"/>
      <c r="D22" s="90"/>
      <c r="E22" s="73"/>
      <c r="F22" s="134" t="s">
        <v>122</v>
      </c>
      <c r="G22" s="73"/>
      <c r="H22" s="93" t="s">
        <v>263</v>
      </c>
      <c r="I22" s="73"/>
      <c r="J22" s="73"/>
      <c r="K22" s="73"/>
      <c r="L22" s="73"/>
      <c r="M22" s="73"/>
      <c r="N22" s="73"/>
      <c r="O22" s="73"/>
      <c r="P22" s="73"/>
      <c r="Q22" s="73"/>
      <c r="R22" s="73"/>
      <c r="S22" s="73"/>
      <c r="T22" s="73"/>
      <c r="U22" s="73"/>
      <c r="V22" s="73"/>
      <c r="W22" s="73"/>
      <c r="X22" s="73"/>
      <c r="Y22" s="73"/>
      <c r="Z22" s="73"/>
    </row>
    <row r="23" spans="1:26" ht="14.25" customHeight="1">
      <c r="A23" s="73"/>
      <c r="B23" s="74" t="s">
        <v>264</v>
      </c>
      <c r="C23" s="73"/>
      <c r="D23" s="90"/>
      <c r="E23" s="73"/>
      <c r="F23" s="135" t="s">
        <v>265</v>
      </c>
      <c r="G23" s="73"/>
      <c r="H23" s="92" t="s">
        <v>266</v>
      </c>
      <c r="I23" s="73"/>
      <c r="J23" s="73"/>
      <c r="K23" s="73"/>
      <c r="L23" s="73"/>
      <c r="M23" s="73"/>
      <c r="N23" s="73"/>
      <c r="O23" s="73"/>
      <c r="P23" s="73"/>
      <c r="Q23" s="73"/>
      <c r="R23" s="73"/>
      <c r="S23" s="73"/>
      <c r="T23" s="73"/>
      <c r="U23" s="73"/>
      <c r="V23" s="73"/>
      <c r="W23" s="73"/>
      <c r="X23" s="73"/>
      <c r="Y23" s="73"/>
      <c r="Z23" s="73"/>
    </row>
    <row r="24" spans="1:26" ht="14.25" customHeight="1">
      <c r="A24" s="73"/>
      <c r="B24" s="74" t="s">
        <v>267</v>
      </c>
      <c r="C24" s="73"/>
      <c r="D24" s="90"/>
      <c r="E24" s="73"/>
      <c r="F24" s="134" t="s">
        <v>34</v>
      </c>
      <c r="G24" s="73"/>
      <c r="H24" s="94" t="s">
        <v>268</v>
      </c>
      <c r="I24" s="73"/>
      <c r="J24" s="73"/>
      <c r="K24" s="73"/>
      <c r="L24" s="73"/>
      <c r="M24" s="73"/>
      <c r="N24" s="73"/>
      <c r="O24" s="73"/>
      <c r="P24" s="73"/>
      <c r="Q24" s="73"/>
      <c r="R24" s="73"/>
      <c r="S24" s="73"/>
      <c r="T24" s="73"/>
      <c r="U24" s="73"/>
      <c r="V24" s="73"/>
      <c r="W24" s="73"/>
      <c r="X24" s="73"/>
      <c r="Y24" s="73"/>
      <c r="Z24" s="73"/>
    </row>
    <row r="25" spans="1:26" ht="14.25" customHeight="1">
      <c r="A25" s="73"/>
      <c r="B25" s="74" t="s">
        <v>269</v>
      </c>
      <c r="C25" s="73"/>
      <c r="D25" s="90"/>
      <c r="E25" s="73"/>
      <c r="F25" s="135" t="s">
        <v>270</v>
      </c>
      <c r="G25" s="73"/>
      <c r="H25" s="78" t="s">
        <v>15</v>
      </c>
      <c r="I25" s="73"/>
      <c r="J25" s="73"/>
      <c r="K25" s="73"/>
      <c r="L25" s="73"/>
      <c r="M25" s="73"/>
      <c r="N25" s="73"/>
      <c r="O25" s="73"/>
      <c r="P25" s="73"/>
      <c r="Q25" s="73"/>
      <c r="R25" s="73"/>
      <c r="S25" s="73"/>
      <c r="T25" s="73"/>
      <c r="U25" s="73"/>
      <c r="V25" s="73"/>
      <c r="W25" s="73"/>
      <c r="X25" s="73"/>
      <c r="Y25" s="73"/>
      <c r="Z25" s="73"/>
    </row>
    <row r="26" spans="1:26" ht="14.25" customHeight="1">
      <c r="A26" s="73"/>
      <c r="B26" s="74" t="s">
        <v>271</v>
      </c>
      <c r="C26" s="73"/>
      <c r="D26" s="73"/>
      <c r="E26" s="73"/>
      <c r="F26" s="134" t="s">
        <v>272</v>
      </c>
      <c r="G26" s="73"/>
      <c r="H26" s="81" t="s">
        <v>273</v>
      </c>
      <c r="I26" s="73"/>
      <c r="J26" s="73"/>
      <c r="K26" s="73"/>
      <c r="L26" s="73"/>
      <c r="M26" s="73"/>
      <c r="N26" s="73"/>
      <c r="O26" s="73"/>
      <c r="P26" s="73"/>
      <c r="Q26" s="73"/>
      <c r="R26" s="73"/>
      <c r="S26" s="73"/>
      <c r="T26" s="73"/>
      <c r="U26" s="73"/>
      <c r="V26" s="73"/>
      <c r="W26" s="73"/>
      <c r="X26" s="73"/>
      <c r="Y26" s="73"/>
      <c r="Z26" s="73"/>
    </row>
    <row r="27" spans="1:26" ht="14.25" customHeight="1">
      <c r="A27" s="73"/>
      <c r="B27" s="74" t="s">
        <v>274</v>
      </c>
      <c r="C27" s="73"/>
      <c r="D27" s="90"/>
      <c r="E27" s="73"/>
      <c r="F27" s="135" t="s">
        <v>275</v>
      </c>
      <c r="G27" s="73"/>
      <c r="H27" s="92" t="s">
        <v>276</v>
      </c>
      <c r="I27" s="73"/>
      <c r="J27" s="73"/>
      <c r="K27" s="73"/>
      <c r="L27" s="73"/>
      <c r="M27" s="73"/>
      <c r="N27" s="73"/>
      <c r="O27" s="73"/>
      <c r="P27" s="73"/>
      <c r="Q27" s="73"/>
      <c r="R27" s="73"/>
      <c r="S27" s="73"/>
      <c r="T27" s="73"/>
      <c r="U27" s="73"/>
      <c r="V27" s="73"/>
      <c r="W27" s="73"/>
      <c r="X27" s="73"/>
      <c r="Y27" s="73"/>
      <c r="Z27" s="73"/>
    </row>
    <row r="28" spans="1:26" ht="14.25" customHeight="1">
      <c r="A28" s="73"/>
      <c r="B28" s="74" t="s">
        <v>277</v>
      </c>
      <c r="C28" s="73"/>
      <c r="D28" s="90"/>
      <c r="E28" s="73"/>
      <c r="F28" s="134" t="s">
        <v>278</v>
      </c>
      <c r="G28" s="73"/>
      <c r="H28" s="81" t="s">
        <v>279</v>
      </c>
      <c r="I28" s="73"/>
      <c r="J28" s="73"/>
      <c r="K28" s="73"/>
      <c r="L28" s="73"/>
      <c r="M28" s="73"/>
      <c r="N28" s="73"/>
      <c r="O28" s="73"/>
      <c r="P28" s="73"/>
      <c r="Q28" s="73"/>
      <c r="R28" s="73"/>
      <c r="S28" s="73"/>
      <c r="T28" s="73"/>
      <c r="U28" s="73"/>
      <c r="V28" s="73"/>
      <c r="W28" s="73"/>
      <c r="X28" s="73"/>
      <c r="Y28" s="73"/>
      <c r="Z28" s="73"/>
    </row>
    <row r="29" spans="1:26" ht="14.25" customHeight="1">
      <c r="A29" s="73"/>
      <c r="B29" s="74" t="s">
        <v>280</v>
      </c>
      <c r="C29" s="73"/>
      <c r="D29" s="73"/>
      <c r="E29" s="73"/>
      <c r="F29" s="135" t="s">
        <v>281</v>
      </c>
      <c r="G29" s="73"/>
      <c r="H29" s="83" t="s">
        <v>282</v>
      </c>
      <c r="I29" s="73"/>
      <c r="J29" s="73"/>
      <c r="K29" s="73"/>
      <c r="L29" s="73"/>
      <c r="M29" s="73"/>
      <c r="N29" s="73"/>
      <c r="O29" s="73"/>
      <c r="P29" s="73"/>
      <c r="Q29" s="73"/>
      <c r="R29" s="73"/>
      <c r="S29" s="73"/>
      <c r="T29" s="73"/>
      <c r="U29" s="73"/>
      <c r="V29" s="73"/>
      <c r="W29" s="73"/>
      <c r="X29" s="73"/>
      <c r="Y29" s="73"/>
      <c r="Z29" s="73"/>
    </row>
    <row r="30" spans="1:26" ht="14.25" customHeight="1">
      <c r="A30" s="73"/>
      <c r="B30" s="74" t="s">
        <v>283</v>
      </c>
      <c r="C30" s="73"/>
      <c r="D30" s="73"/>
      <c r="E30" s="73"/>
      <c r="F30" s="134" t="s">
        <v>284</v>
      </c>
      <c r="G30" s="73"/>
      <c r="H30" s="94" t="s">
        <v>285</v>
      </c>
      <c r="I30" s="73"/>
      <c r="J30" s="73"/>
      <c r="K30" s="73"/>
      <c r="L30" s="73"/>
      <c r="M30" s="73"/>
      <c r="N30" s="73"/>
      <c r="O30" s="73"/>
      <c r="P30" s="73"/>
      <c r="Q30" s="73"/>
      <c r="R30" s="73"/>
      <c r="S30" s="73"/>
      <c r="T30" s="73"/>
      <c r="U30" s="73"/>
      <c r="V30" s="73"/>
      <c r="W30" s="73"/>
      <c r="X30" s="73"/>
      <c r="Y30" s="73"/>
      <c r="Z30" s="73"/>
    </row>
    <row r="31" spans="1:26" ht="14.25" customHeight="1">
      <c r="A31" s="73"/>
      <c r="B31" s="74" t="s">
        <v>286</v>
      </c>
      <c r="C31" s="73"/>
      <c r="D31" s="73"/>
      <c r="E31" s="73"/>
      <c r="F31" s="135" t="s">
        <v>287</v>
      </c>
      <c r="G31" s="73"/>
      <c r="H31" s="78" t="s">
        <v>288</v>
      </c>
      <c r="I31" s="73"/>
      <c r="J31" s="73"/>
      <c r="K31" s="73"/>
      <c r="L31" s="73"/>
      <c r="M31" s="73"/>
      <c r="N31" s="73"/>
      <c r="O31" s="73"/>
      <c r="P31" s="73"/>
      <c r="Q31" s="73"/>
      <c r="R31" s="73"/>
      <c r="S31" s="73"/>
      <c r="T31" s="73"/>
      <c r="U31" s="73"/>
      <c r="V31" s="73"/>
      <c r="W31" s="73"/>
      <c r="X31" s="73"/>
      <c r="Y31" s="73"/>
      <c r="Z31" s="73"/>
    </row>
    <row r="32" spans="1:26" ht="14.25" customHeight="1">
      <c r="A32" s="73"/>
      <c r="B32" s="74" t="s">
        <v>289</v>
      </c>
      <c r="C32" s="73"/>
      <c r="D32" s="73"/>
      <c r="E32" s="73"/>
      <c r="F32" s="134" t="s">
        <v>290</v>
      </c>
      <c r="G32" s="73"/>
      <c r="H32" s="85" t="s">
        <v>291</v>
      </c>
      <c r="I32" s="73"/>
      <c r="J32" s="73"/>
      <c r="K32" s="73"/>
      <c r="L32" s="73"/>
      <c r="M32" s="73"/>
      <c r="N32" s="73"/>
      <c r="O32" s="73"/>
      <c r="P32" s="73"/>
      <c r="Q32" s="73"/>
      <c r="R32" s="73"/>
      <c r="S32" s="73"/>
      <c r="T32" s="73"/>
      <c r="U32" s="73"/>
      <c r="V32" s="73"/>
      <c r="W32" s="73"/>
      <c r="X32" s="73"/>
      <c r="Y32" s="73"/>
      <c r="Z32" s="73"/>
    </row>
    <row r="33" spans="1:26" ht="14.25" customHeight="1">
      <c r="A33" s="73"/>
      <c r="B33" s="74" t="s">
        <v>292</v>
      </c>
      <c r="C33" s="73"/>
      <c r="D33" s="73"/>
      <c r="E33" s="73"/>
      <c r="F33" s="135" t="s">
        <v>293</v>
      </c>
      <c r="G33" s="73"/>
      <c r="H33" s="85" t="s">
        <v>294</v>
      </c>
      <c r="I33" s="73"/>
      <c r="J33" s="73"/>
      <c r="K33" s="73"/>
      <c r="L33" s="73"/>
      <c r="M33" s="73"/>
      <c r="N33" s="73"/>
      <c r="O33" s="73"/>
      <c r="P33" s="73"/>
      <c r="Q33" s="73"/>
      <c r="R33" s="73"/>
      <c r="S33" s="73"/>
      <c r="T33" s="73"/>
      <c r="U33" s="73"/>
      <c r="V33" s="73"/>
      <c r="W33" s="73"/>
      <c r="X33" s="73"/>
      <c r="Y33" s="73"/>
      <c r="Z33" s="73"/>
    </row>
    <row r="34" spans="1:26" ht="14.25" customHeight="1">
      <c r="A34" s="73"/>
      <c r="B34" s="74" t="s">
        <v>295</v>
      </c>
      <c r="C34" s="73"/>
      <c r="D34" s="73"/>
      <c r="E34" s="73"/>
      <c r="F34" s="134" t="s">
        <v>296</v>
      </c>
      <c r="G34" s="73"/>
      <c r="H34" s="86" t="s">
        <v>297</v>
      </c>
      <c r="I34" s="73"/>
      <c r="J34" s="73"/>
      <c r="K34" s="73"/>
      <c r="L34" s="73"/>
      <c r="M34" s="73"/>
      <c r="N34" s="73"/>
      <c r="O34" s="73"/>
      <c r="P34" s="73"/>
      <c r="Q34" s="73"/>
      <c r="R34" s="73"/>
      <c r="S34" s="73"/>
      <c r="T34" s="73"/>
      <c r="U34" s="73"/>
      <c r="V34" s="73"/>
      <c r="W34" s="73"/>
      <c r="X34" s="73"/>
      <c r="Y34" s="73"/>
      <c r="Z34" s="73"/>
    </row>
    <row r="35" spans="1:26" ht="14.25" customHeight="1">
      <c r="A35" s="73"/>
      <c r="B35" s="74" t="s">
        <v>298</v>
      </c>
      <c r="C35" s="73"/>
      <c r="D35" s="73"/>
      <c r="E35" s="73"/>
      <c r="F35" s="135" t="s">
        <v>299</v>
      </c>
      <c r="G35" s="73"/>
      <c r="H35" s="83" t="s">
        <v>300</v>
      </c>
      <c r="I35" s="73"/>
      <c r="J35" s="73"/>
      <c r="K35" s="73"/>
      <c r="L35" s="73"/>
      <c r="M35" s="73"/>
      <c r="N35" s="73"/>
      <c r="O35" s="73"/>
      <c r="P35" s="73"/>
      <c r="Q35" s="73"/>
      <c r="R35" s="73"/>
      <c r="S35" s="73"/>
      <c r="T35" s="73"/>
      <c r="U35" s="73"/>
      <c r="V35" s="73"/>
      <c r="W35" s="73"/>
      <c r="X35" s="73"/>
      <c r="Y35" s="73"/>
      <c r="Z35" s="73"/>
    </row>
    <row r="36" spans="1:26" ht="14.25" customHeight="1">
      <c r="A36" s="73"/>
      <c r="B36" s="74" t="s">
        <v>301</v>
      </c>
      <c r="C36" s="73"/>
      <c r="D36" s="73"/>
      <c r="E36" s="73"/>
      <c r="F36" s="134" t="s">
        <v>302</v>
      </c>
      <c r="G36" s="73"/>
      <c r="H36" s="86" t="s">
        <v>303</v>
      </c>
      <c r="I36" s="73"/>
      <c r="J36" s="73"/>
      <c r="K36" s="73"/>
      <c r="L36" s="73"/>
      <c r="M36" s="73"/>
      <c r="N36" s="73"/>
      <c r="O36" s="73"/>
      <c r="P36" s="73"/>
      <c r="Q36" s="73"/>
      <c r="R36" s="73"/>
      <c r="S36" s="73"/>
      <c r="T36" s="73"/>
      <c r="U36" s="73"/>
      <c r="V36" s="73"/>
      <c r="W36" s="73"/>
      <c r="X36" s="73"/>
      <c r="Y36" s="73"/>
      <c r="Z36" s="73"/>
    </row>
    <row r="37" spans="1:26" ht="14.25" customHeight="1">
      <c r="A37" s="73"/>
      <c r="B37" s="74" t="s">
        <v>304</v>
      </c>
      <c r="C37" s="73"/>
      <c r="D37" s="73"/>
      <c r="E37" s="73"/>
      <c r="F37" s="134" t="s">
        <v>305</v>
      </c>
      <c r="G37" s="73"/>
      <c r="H37" s="85" t="s">
        <v>306</v>
      </c>
      <c r="I37" s="73"/>
      <c r="J37" s="73"/>
      <c r="K37" s="73"/>
      <c r="L37" s="73"/>
      <c r="M37" s="73"/>
      <c r="N37" s="73"/>
      <c r="O37" s="73"/>
      <c r="P37" s="73"/>
      <c r="Q37" s="73"/>
      <c r="R37" s="73"/>
      <c r="S37" s="73"/>
      <c r="T37" s="73"/>
      <c r="U37" s="73"/>
      <c r="V37" s="73"/>
      <c r="W37" s="73"/>
      <c r="X37" s="73"/>
      <c r="Y37" s="73"/>
      <c r="Z37" s="73"/>
    </row>
    <row r="38" spans="1:26" ht="14.25" customHeight="1">
      <c r="A38" s="73"/>
      <c r="B38" s="74" t="s">
        <v>307</v>
      </c>
      <c r="C38" s="73"/>
      <c r="D38" s="73"/>
      <c r="E38" s="73"/>
      <c r="F38" s="134" t="s">
        <v>106</v>
      </c>
      <c r="G38" s="73"/>
      <c r="H38" s="94" t="s">
        <v>308</v>
      </c>
      <c r="I38" s="73"/>
      <c r="J38" s="73"/>
      <c r="K38" s="73"/>
      <c r="L38" s="73"/>
      <c r="M38" s="73"/>
      <c r="N38" s="73"/>
      <c r="O38" s="73"/>
      <c r="P38" s="73"/>
      <c r="Q38" s="73"/>
      <c r="R38" s="73"/>
      <c r="S38" s="73"/>
      <c r="T38" s="73"/>
      <c r="U38" s="73"/>
      <c r="V38" s="73"/>
      <c r="W38" s="73"/>
      <c r="X38" s="73"/>
      <c r="Y38" s="73"/>
      <c r="Z38" s="73"/>
    </row>
    <row r="39" spans="1:26" ht="14.25" customHeight="1">
      <c r="A39" s="73"/>
      <c r="B39" s="74" t="s">
        <v>309</v>
      </c>
      <c r="C39" s="73"/>
      <c r="D39" s="73"/>
      <c r="E39" s="73"/>
      <c r="F39" s="134" t="s">
        <v>310</v>
      </c>
      <c r="G39" s="73"/>
      <c r="H39" s="83" t="s">
        <v>311</v>
      </c>
      <c r="I39" s="73"/>
      <c r="J39" s="73"/>
      <c r="K39" s="73"/>
      <c r="L39" s="73"/>
      <c r="M39" s="73"/>
      <c r="N39" s="73"/>
      <c r="O39" s="73"/>
      <c r="P39" s="73"/>
      <c r="Q39" s="73"/>
      <c r="R39" s="73"/>
      <c r="S39" s="73"/>
      <c r="T39" s="73"/>
      <c r="U39" s="73"/>
      <c r="V39" s="73"/>
      <c r="W39" s="73"/>
      <c r="X39" s="73"/>
      <c r="Y39" s="73"/>
      <c r="Z39" s="73"/>
    </row>
    <row r="40" spans="1:26" ht="14.25" customHeight="1">
      <c r="A40" s="73"/>
      <c r="B40" s="74" t="s">
        <v>312</v>
      </c>
      <c r="C40" s="73"/>
      <c r="D40" s="73"/>
      <c r="E40" s="73"/>
      <c r="F40" s="95"/>
      <c r="G40" s="73"/>
      <c r="H40" s="86" t="s">
        <v>313</v>
      </c>
      <c r="I40" s="73"/>
      <c r="J40" s="73"/>
      <c r="K40" s="73"/>
      <c r="L40" s="73"/>
      <c r="M40" s="73"/>
      <c r="N40" s="73"/>
      <c r="O40" s="73"/>
      <c r="P40" s="73"/>
      <c r="Q40" s="73"/>
      <c r="R40" s="73"/>
      <c r="S40" s="73"/>
      <c r="T40" s="73"/>
      <c r="U40" s="73"/>
      <c r="V40" s="73"/>
      <c r="W40" s="73"/>
      <c r="X40" s="73"/>
      <c r="Y40" s="73"/>
      <c r="Z40" s="73"/>
    </row>
    <row r="41" spans="1:26" ht="14.25" customHeight="1">
      <c r="A41" s="73"/>
      <c r="B41" s="73"/>
      <c r="C41" s="73"/>
      <c r="D41" s="96"/>
      <c r="E41" s="73"/>
      <c r="F41" s="73"/>
      <c r="G41" s="73"/>
      <c r="H41" s="81" t="s">
        <v>314</v>
      </c>
      <c r="I41" s="73"/>
      <c r="J41" s="73"/>
      <c r="K41" s="73"/>
      <c r="L41" s="73"/>
      <c r="M41" s="73"/>
      <c r="N41" s="73"/>
      <c r="O41" s="73"/>
      <c r="P41" s="73"/>
      <c r="Q41" s="73"/>
      <c r="R41" s="73"/>
      <c r="S41" s="73"/>
      <c r="T41" s="73"/>
      <c r="U41" s="73"/>
      <c r="V41" s="73"/>
      <c r="W41" s="73"/>
      <c r="X41" s="73"/>
      <c r="Y41" s="73"/>
      <c r="Z41" s="73"/>
    </row>
    <row r="42" spans="1:26" ht="14.25" customHeight="1">
      <c r="A42" s="73"/>
      <c r="B42" s="134"/>
      <c r="C42" s="73"/>
      <c r="D42" s="73"/>
      <c r="E42" s="73"/>
      <c r="F42" s="73"/>
      <c r="G42" s="73"/>
      <c r="H42" s="94" t="s">
        <v>315</v>
      </c>
      <c r="I42" s="73"/>
      <c r="J42" s="73"/>
      <c r="K42" s="73"/>
      <c r="L42" s="73"/>
      <c r="M42" s="73"/>
      <c r="N42" s="73"/>
      <c r="O42" s="73"/>
      <c r="P42" s="73"/>
      <c r="Q42" s="73"/>
      <c r="R42" s="73"/>
      <c r="S42" s="73"/>
      <c r="T42" s="73"/>
      <c r="U42" s="73"/>
      <c r="V42" s="73"/>
      <c r="W42" s="73"/>
      <c r="X42" s="73"/>
      <c r="Y42" s="73"/>
      <c r="Z42" s="73"/>
    </row>
    <row r="43" spans="1:26" ht="14.25" customHeight="1">
      <c r="A43" s="73"/>
      <c r="B43" s="73"/>
      <c r="C43" s="73"/>
      <c r="D43" s="73"/>
      <c r="E43" s="73"/>
      <c r="F43" s="73"/>
      <c r="G43" s="73"/>
      <c r="H43" s="83" t="s">
        <v>316</v>
      </c>
      <c r="I43" s="73"/>
      <c r="J43" s="73"/>
      <c r="K43" s="73"/>
      <c r="L43" s="73"/>
      <c r="M43" s="73"/>
      <c r="N43" s="73"/>
      <c r="O43" s="73"/>
      <c r="P43" s="73"/>
      <c r="Q43" s="73"/>
      <c r="R43" s="73"/>
      <c r="S43" s="73"/>
      <c r="T43" s="73"/>
      <c r="U43" s="73"/>
      <c r="V43" s="73"/>
      <c r="W43" s="73"/>
      <c r="X43" s="73"/>
      <c r="Y43" s="73"/>
      <c r="Z43" s="73"/>
    </row>
    <row r="44" spans="1:26" ht="14.25" customHeight="1">
      <c r="A44" s="73"/>
      <c r="B44" s="135"/>
      <c r="C44" s="73"/>
      <c r="D44" s="73"/>
      <c r="E44" s="73"/>
      <c r="F44" s="73"/>
      <c r="G44" s="73"/>
      <c r="H44" s="94" t="s">
        <v>317</v>
      </c>
      <c r="I44" s="73"/>
      <c r="J44" s="73"/>
      <c r="K44" s="73"/>
      <c r="L44" s="73"/>
      <c r="M44" s="73"/>
      <c r="N44" s="73"/>
      <c r="O44" s="73"/>
      <c r="P44" s="73"/>
      <c r="Q44" s="73"/>
      <c r="R44" s="73"/>
      <c r="S44" s="73"/>
      <c r="T44" s="73"/>
      <c r="U44" s="73"/>
      <c r="V44" s="73"/>
      <c r="W44" s="73"/>
      <c r="X44" s="73"/>
      <c r="Y44" s="73"/>
      <c r="Z44" s="73"/>
    </row>
    <row r="45" spans="1:26" ht="14.25" customHeight="1">
      <c r="A45" s="73"/>
      <c r="B45" s="73"/>
      <c r="C45" s="73"/>
      <c r="D45" s="73"/>
      <c r="E45" s="73"/>
      <c r="F45" s="73"/>
      <c r="G45" s="73"/>
      <c r="H45" s="85" t="s">
        <v>318</v>
      </c>
      <c r="I45" s="73"/>
      <c r="J45" s="73"/>
      <c r="K45" s="73"/>
      <c r="L45" s="73"/>
      <c r="M45" s="73"/>
      <c r="N45" s="73"/>
      <c r="O45" s="73"/>
      <c r="P45" s="73"/>
      <c r="Q45" s="73"/>
      <c r="R45" s="73"/>
      <c r="S45" s="73"/>
      <c r="T45" s="73"/>
      <c r="U45" s="73"/>
      <c r="V45" s="73"/>
      <c r="W45" s="73"/>
      <c r="X45" s="73"/>
      <c r="Y45" s="73"/>
      <c r="Z45" s="73"/>
    </row>
    <row r="46" spans="1:26" ht="14.25" customHeight="1">
      <c r="A46" s="73"/>
      <c r="B46" s="73"/>
      <c r="C46" s="73"/>
      <c r="D46" s="73"/>
      <c r="E46" s="73"/>
      <c r="F46" s="73"/>
      <c r="G46" s="73"/>
      <c r="H46" s="97" t="s">
        <v>319</v>
      </c>
      <c r="I46" s="73"/>
      <c r="J46" s="73"/>
      <c r="K46" s="73"/>
      <c r="L46" s="73"/>
      <c r="M46" s="73"/>
      <c r="N46" s="73"/>
      <c r="O46" s="73"/>
      <c r="P46" s="73"/>
      <c r="Q46" s="73"/>
      <c r="R46" s="73"/>
      <c r="S46" s="73"/>
      <c r="T46" s="73"/>
      <c r="U46" s="73"/>
      <c r="V46" s="73"/>
      <c r="W46" s="73"/>
      <c r="X46" s="73"/>
      <c r="Y46" s="73"/>
      <c r="Z46" s="73"/>
    </row>
    <row r="47" spans="1:26" ht="14.25" customHeight="1">
      <c r="A47" s="73"/>
      <c r="B47" s="135"/>
      <c r="C47" s="73"/>
      <c r="D47" s="73"/>
      <c r="E47" s="73"/>
      <c r="F47" s="73"/>
      <c r="G47" s="73"/>
      <c r="H47" s="86" t="s">
        <v>320</v>
      </c>
      <c r="I47" s="73"/>
      <c r="J47" s="73"/>
      <c r="K47" s="73"/>
      <c r="L47" s="73"/>
      <c r="M47" s="73"/>
      <c r="N47" s="73"/>
      <c r="O47" s="73"/>
      <c r="P47" s="73"/>
      <c r="Q47" s="73"/>
      <c r="R47" s="73"/>
      <c r="S47" s="73"/>
      <c r="T47" s="73"/>
      <c r="U47" s="73"/>
      <c r="V47" s="73"/>
      <c r="W47" s="73"/>
      <c r="X47" s="73"/>
      <c r="Y47" s="73"/>
      <c r="Z47" s="73"/>
    </row>
    <row r="48" spans="1:26" ht="14.25" customHeight="1">
      <c r="A48" s="73"/>
      <c r="B48" s="73"/>
      <c r="C48" s="73"/>
      <c r="D48" s="73"/>
      <c r="E48" s="73"/>
      <c r="F48" s="73"/>
      <c r="G48" s="73"/>
      <c r="H48" s="98" t="s">
        <v>321</v>
      </c>
      <c r="I48" s="73"/>
      <c r="J48" s="73"/>
      <c r="K48" s="73"/>
      <c r="L48" s="73"/>
      <c r="M48" s="73"/>
      <c r="N48" s="73"/>
      <c r="O48" s="73"/>
      <c r="P48" s="73"/>
      <c r="Q48" s="73"/>
      <c r="R48" s="73"/>
      <c r="S48" s="73"/>
      <c r="T48" s="73"/>
      <c r="U48" s="73"/>
      <c r="V48" s="73"/>
      <c r="W48" s="73"/>
      <c r="X48" s="73"/>
      <c r="Y48" s="73"/>
      <c r="Z48" s="73"/>
    </row>
    <row r="49" spans="1:26" ht="14.25" customHeight="1">
      <c r="A49" s="73"/>
      <c r="B49" s="73"/>
      <c r="C49" s="73"/>
      <c r="D49" s="73"/>
      <c r="E49" s="73"/>
      <c r="F49" s="73"/>
      <c r="G49" s="73"/>
      <c r="H49" s="83" t="s">
        <v>322</v>
      </c>
      <c r="I49" s="73"/>
      <c r="J49" s="73"/>
      <c r="K49" s="73"/>
      <c r="L49" s="73"/>
      <c r="M49" s="73"/>
      <c r="N49" s="73"/>
      <c r="O49" s="73"/>
      <c r="P49" s="73"/>
      <c r="Q49" s="73"/>
      <c r="R49" s="73"/>
      <c r="S49" s="73"/>
      <c r="T49" s="73"/>
      <c r="U49" s="73"/>
      <c r="V49" s="73"/>
      <c r="W49" s="73"/>
      <c r="X49" s="73"/>
      <c r="Y49" s="73"/>
      <c r="Z49" s="73"/>
    </row>
    <row r="50" spans="1:26" ht="14.25" customHeight="1">
      <c r="A50" s="73"/>
      <c r="B50" s="73"/>
      <c r="C50" s="73"/>
      <c r="D50" s="73"/>
      <c r="E50" s="73"/>
      <c r="F50" s="73"/>
      <c r="G50" s="73"/>
      <c r="H50" s="93" t="s">
        <v>323</v>
      </c>
      <c r="I50" s="73"/>
      <c r="J50" s="73"/>
      <c r="K50" s="73"/>
      <c r="L50" s="73"/>
      <c r="M50" s="73"/>
      <c r="N50" s="73"/>
      <c r="O50" s="73"/>
      <c r="P50" s="73"/>
      <c r="Q50" s="73"/>
      <c r="R50" s="73"/>
      <c r="S50" s="73"/>
      <c r="T50" s="73"/>
      <c r="U50" s="73"/>
      <c r="V50" s="73"/>
      <c r="W50" s="73"/>
      <c r="X50" s="73"/>
      <c r="Y50" s="73"/>
      <c r="Z50" s="73"/>
    </row>
    <row r="51" spans="1:26" ht="14.25" customHeight="1">
      <c r="A51" s="73"/>
      <c r="B51" s="73"/>
      <c r="C51" s="73"/>
      <c r="D51" s="73"/>
      <c r="E51" s="73"/>
      <c r="F51" s="73"/>
      <c r="G51" s="73"/>
      <c r="H51" s="83" t="s">
        <v>324</v>
      </c>
      <c r="I51" s="73"/>
      <c r="J51" s="73"/>
      <c r="K51" s="73"/>
      <c r="L51" s="73"/>
      <c r="M51" s="73"/>
      <c r="N51" s="73"/>
      <c r="O51" s="73"/>
      <c r="P51" s="73"/>
      <c r="Q51" s="73"/>
      <c r="R51" s="73"/>
      <c r="S51" s="73"/>
      <c r="T51" s="73"/>
      <c r="U51" s="73"/>
      <c r="V51" s="73"/>
      <c r="W51" s="73"/>
      <c r="X51" s="73"/>
      <c r="Y51" s="73"/>
      <c r="Z51" s="73"/>
    </row>
    <row r="52" spans="1:26" ht="14.25" customHeight="1">
      <c r="A52" s="73"/>
      <c r="B52" s="73"/>
      <c r="C52" s="73"/>
      <c r="D52" s="73"/>
      <c r="E52" s="73"/>
      <c r="F52" s="73"/>
      <c r="G52" s="73"/>
      <c r="H52" s="81" t="s">
        <v>325</v>
      </c>
      <c r="I52" s="73"/>
      <c r="J52" s="73"/>
      <c r="K52" s="73"/>
      <c r="L52" s="73"/>
      <c r="M52" s="73"/>
      <c r="N52" s="73"/>
      <c r="O52" s="73"/>
      <c r="P52" s="73"/>
      <c r="Q52" s="73"/>
      <c r="R52" s="73"/>
      <c r="S52" s="73"/>
      <c r="T52" s="73"/>
      <c r="U52" s="73"/>
      <c r="V52" s="73"/>
      <c r="W52" s="73"/>
      <c r="X52" s="73"/>
      <c r="Y52" s="73"/>
      <c r="Z52" s="73"/>
    </row>
    <row r="53" spans="1:26" ht="14.25" customHeight="1">
      <c r="A53" s="73"/>
      <c r="B53" s="73"/>
      <c r="C53" s="73"/>
      <c r="D53" s="73"/>
      <c r="E53" s="73"/>
      <c r="F53" s="73"/>
      <c r="G53" s="73"/>
      <c r="H53" s="86" t="s">
        <v>326</v>
      </c>
      <c r="I53" s="73"/>
      <c r="J53" s="73"/>
      <c r="K53" s="73"/>
      <c r="L53" s="73"/>
      <c r="M53" s="73"/>
      <c r="N53" s="73"/>
      <c r="O53" s="73"/>
      <c r="P53" s="73"/>
      <c r="Q53" s="73"/>
      <c r="R53" s="73"/>
      <c r="S53" s="73"/>
      <c r="T53" s="73"/>
      <c r="U53" s="73"/>
      <c r="V53" s="73"/>
      <c r="W53" s="73"/>
      <c r="X53" s="73"/>
      <c r="Y53" s="73"/>
      <c r="Z53" s="73"/>
    </row>
    <row r="54" spans="1:26" ht="14.25" customHeight="1">
      <c r="A54" s="73"/>
      <c r="B54" s="73"/>
      <c r="C54" s="73"/>
      <c r="D54" s="73"/>
      <c r="E54" s="73"/>
      <c r="F54" s="73"/>
      <c r="G54" s="73"/>
      <c r="H54" s="81" t="s">
        <v>327</v>
      </c>
      <c r="I54" s="73"/>
      <c r="J54" s="73"/>
      <c r="K54" s="73"/>
      <c r="L54" s="73"/>
      <c r="M54" s="73"/>
      <c r="N54" s="73"/>
      <c r="O54" s="73"/>
      <c r="P54" s="73"/>
      <c r="Q54" s="73"/>
      <c r="R54" s="73"/>
      <c r="S54" s="73"/>
      <c r="T54" s="73"/>
      <c r="U54" s="73"/>
      <c r="V54" s="73"/>
      <c r="W54" s="73"/>
      <c r="X54" s="73"/>
      <c r="Y54" s="73"/>
      <c r="Z54" s="73"/>
    </row>
    <row r="55" spans="1:26" ht="14.25" customHeight="1">
      <c r="A55" s="73"/>
      <c r="B55" s="73"/>
      <c r="C55" s="73"/>
      <c r="D55" s="73"/>
      <c r="E55" s="73"/>
      <c r="F55" s="73"/>
      <c r="G55" s="73"/>
      <c r="H55" s="86" t="s">
        <v>328</v>
      </c>
      <c r="I55" s="73"/>
      <c r="J55" s="73"/>
      <c r="K55" s="73"/>
      <c r="L55" s="73"/>
      <c r="M55" s="73"/>
      <c r="N55" s="73"/>
      <c r="O55" s="73"/>
      <c r="P55" s="73"/>
      <c r="Q55" s="73"/>
      <c r="R55" s="73"/>
      <c r="S55" s="73"/>
      <c r="T55" s="73"/>
      <c r="U55" s="73"/>
      <c r="V55" s="73"/>
      <c r="W55" s="73"/>
      <c r="X55" s="73"/>
      <c r="Y55" s="73"/>
      <c r="Z55" s="73"/>
    </row>
    <row r="56" spans="1:26" ht="14.25" customHeight="1">
      <c r="A56" s="73"/>
      <c r="B56" s="73"/>
      <c r="C56" s="73"/>
      <c r="D56" s="73"/>
      <c r="E56" s="73"/>
      <c r="F56" s="73"/>
      <c r="G56" s="73"/>
      <c r="H56" s="81" t="s">
        <v>329</v>
      </c>
      <c r="I56" s="73"/>
      <c r="J56" s="73"/>
      <c r="K56" s="73"/>
      <c r="L56" s="73"/>
      <c r="M56" s="73"/>
      <c r="N56" s="73"/>
      <c r="O56" s="73"/>
      <c r="P56" s="73"/>
      <c r="Q56" s="73"/>
      <c r="R56" s="73"/>
      <c r="S56" s="73"/>
      <c r="T56" s="73"/>
      <c r="U56" s="73"/>
      <c r="V56" s="73"/>
      <c r="W56" s="73"/>
      <c r="X56" s="73"/>
      <c r="Y56" s="73"/>
      <c r="Z56" s="73"/>
    </row>
    <row r="57" spans="1:26" ht="14.25" customHeight="1">
      <c r="A57" s="73"/>
      <c r="B57" s="73"/>
      <c r="C57" s="73"/>
      <c r="D57" s="73"/>
      <c r="E57" s="73"/>
      <c r="F57" s="73"/>
      <c r="G57" s="73"/>
      <c r="H57" s="86" t="s">
        <v>330</v>
      </c>
      <c r="I57" s="73"/>
      <c r="J57" s="73"/>
      <c r="K57" s="73"/>
      <c r="L57" s="73"/>
      <c r="M57" s="73"/>
      <c r="N57" s="73"/>
      <c r="O57" s="73"/>
      <c r="P57" s="73"/>
      <c r="Q57" s="73"/>
      <c r="R57" s="73"/>
      <c r="S57" s="73"/>
      <c r="T57" s="73"/>
      <c r="U57" s="73"/>
      <c r="V57" s="73"/>
      <c r="W57" s="73"/>
      <c r="X57" s="73"/>
      <c r="Y57" s="73"/>
      <c r="Z57" s="73"/>
    </row>
    <row r="58" spans="1:26" ht="14.25" customHeight="1">
      <c r="A58" s="73"/>
      <c r="B58" s="73"/>
      <c r="C58" s="73"/>
      <c r="D58" s="73"/>
      <c r="E58" s="73"/>
      <c r="F58" s="73"/>
      <c r="G58" s="73"/>
      <c r="H58" s="85" t="s">
        <v>331</v>
      </c>
      <c r="I58" s="73"/>
      <c r="J58" s="73"/>
      <c r="K58" s="73"/>
      <c r="L58" s="73"/>
      <c r="M58" s="73"/>
      <c r="N58" s="73"/>
      <c r="O58" s="73"/>
      <c r="P58" s="73"/>
      <c r="Q58" s="73"/>
      <c r="R58" s="73"/>
      <c r="S58" s="73"/>
      <c r="T58" s="73"/>
      <c r="U58" s="73"/>
      <c r="V58" s="73"/>
      <c r="W58" s="73"/>
      <c r="X58" s="73"/>
      <c r="Y58" s="73"/>
      <c r="Z58" s="73"/>
    </row>
    <row r="59" spans="1:26" ht="14.25" customHeight="1">
      <c r="A59" s="73"/>
      <c r="B59" s="73"/>
      <c r="C59" s="73"/>
      <c r="D59" s="73"/>
      <c r="E59" s="73"/>
      <c r="F59" s="73"/>
      <c r="G59" s="73"/>
      <c r="H59" s="86" t="s">
        <v>332</v>
      </c>
      <c r="I59" s="73"/>
      <c r="J59" s="73"/>
      <c r="K59" s="73"/>
      <c r="L59" s="73"/>
      <c r="M59" s="73"/>
      <c r="N59" s="73"/>
      <c r="O59" s="73"/>
      <c r="P59" s="73"/>
      <c r="Q59" s="73"/>
      <c r="R59" s="73"/>
      <c r="S59" s="73"/>
      <c r="T59" s="73"/>
      <c r="U59" s="73"/>
      <c r="V59" s="73"/>
      <c r="W59" s="73"/>
      <c r="X59" s="73"/>
      <c r="Y59" s="73"/>
      <c r="Z59" s="73"/>
    </row>
    <row r="60" spans="1:26" ht="14.25" customHeight="1">
      <c r="A60" s="73"/>
      <c r="B60" s="73"/>
      <c r="C60" s="73"/>
      <c r="D60" s="73"/>
      <c r="E60" s="73"/>
      <c r="F60" s="73"/>
      <c r="G60" s="73"/>
      <c r="H60" s="85" t="s">
        <v>333</v>
      </c>
      <c r="I60" s="73"/>
      <c r="J60" s="73"/>
      <c r="K60" s="73"/>
      <c r="L60" s="73"/>
      <c r="M60" s="73"/>
      <c r="N60" s="73"/>
      <c r="O60" s="73"/>
      <c r="P60" s="73"/>
      <c r="Q60" s="73"/>
      <c r="R60" s="73"/>
      <c r="S60" s="73"/>
      <c r="T60" s="73"/>
      <c r="U60" s="73"/>
      <c r="V60" s="73"/>
      <c r="W60" s="73"/>
      <c r="X60" s="73"/>
      <c r="Y60" s="73"/>
      <c r="Z60" s="73"/>
    </row>
    <row r="61" spans="1:26" ht="14.25" customHeight="1">
      <c r="A61" s="73"/>
      <c r="B61" s="73"/>
      <c r="C61" s="73"/>
      <c r="D61" s="73"/>
      <c r="E61" s="73"/>
      <c r="F61" s="73"/>
      <c r="G61" s="73"/>
      <c r="H61" s="99" t="s">
        <v>334</v>
      </c>
      <c r="I61" s="73"/>
      <c r="J61" s="73"/>
      <c r="K61" s="73"/>
      <c r="L61" s="73"/>
      <c r="M61" s="73"/>
      <c r="N61" s="73"/>
      <c r="O61" s="73"/>
      <c r="P61" s="73"/>
      <c r="Q61" s="73"/>
      <c r="R61" s="73"/>
      <c r="S61" s="73"/>
      <c r="T61" s="73"/>
      <c r="U61" s="73"/>
      <c r="V61" s="73"/>
      <c r="W61" s="73"/>
      <c r="X61" s="73"/>
      <c r="Y61" s="73"/>
      <c r="Z61" s="73"/>
    </row>
    <row r="62" spans="1:26" ht="14.25" customHeight="1">
      <c r="A62" s="73"/>
      <c r="B62" s="73"/>
      <c r="C62" s="73"/>
      <c r="D62" s="73"/>
      <c r="E62" s="73"/>
      <c r="F62" s="73"/>
      <c r="G62" s="73"/>
      <c r="H62" s="94" t="s">
        <v>335</v>
      </c>
      <c r="I62" s="73"/>
      <c r="J62" s="73"/>
      <c r="K62" s="73"/>
      <c r="L62" s="73"/>
      <c r="M62" s="73"/>
      <c r="N62" s="73"/>
      <c r="O62" s="73"/>
      <c r="P62" s="73"/>
      <c r="Q62" s="73"/>
      <c r="R62" s="73"/>
      <c r="S62" s="73"/>
      <c r="T62" s="73"/>
      <c r="U62" s="73"/>
      <c r="V62" s="73"/>
      <c r="W62" s="73"/>
      <c r="X62" s="73"/>
      <c r="Y62" s="73"/>
      <c r="Z62" s="73"/>
    </row>
    <row r="63" spans="1:26" ht="14.25" customHeight="1">
      <c r="A63" s="73"/>
      <c r="B63" s="73"/>
      <c r="C63" s="73"/>
      <c r="D63" s="73"/>
      <c r="E63" s="73"/>
      <c r="F63" s="73"/>
      <c r="G63" s="73"/>
      <c r="H63" s="86" t="s">
        <v>336</v>
      </c>
      <c r="I63" s="73"/>
      <c r="J63" s="73"/>
      <c r="K63" s="73"/>
      <c r="L63" s="73"/>
      <c r="M63" s="73"/>
      <c r="N63" s="73"/>
      <c r="O63" s="73"/>
      <c r="P63" s="73"/>
      <c r="Q63" s="73"/>
      <c r="R63" s="73"/>
      <c r="S63" s="73"/>
      <c r="T63" s="73"/>
      <c r="U63" s="73"/>
      <c r="V63" s="73"/>
      <c r="W63" s="73"/>
      <c r="X63" s="73"/>
      <c r="Y63" s="73"/>
      <c r="Z63" s="73"/>
    </row>
    <row r="64" spans="1:26" ht="14.25" customHeight="1">
      <c r="A64" s="73"/>
      <c r="B64" s="73"/>
      <c r="C64" s="73"/>
      <c r="D64" s="73"/>
      <c r="E64" s="73"/>
      <c r="F64" s="73"/>
      <c r="G64" s="73"/>
      <c r="H64" s="83" t="s">
        <v>337</v>
      </c>
      <c r="I64" s="73"/>
      <c r="J64" s="73"/>
      <c r="K64" s="73"/>
      <c r="L64" s="73"/>
      <c r="M64" s="73"/>
      <c r="N64" s="73"/>
      <c r="O64" s="73"/>
      <c r="P64" s="73"/>
      <c r="Q64" s="73"/>
      <c r="R64" s="73"/>
      <c r="S64" s="73"/>
      <c r="T64" s="73"/>
      <c r="U64" s="73"/>
      <c r="V64" s="73"/>
      <c r="W64" s="73"/>
      <c r="X64" s="73"/>
      <c r="Y64" s="73"/>
      <c r="Z64" s="73"/>
    </row>
    <row r="65" spans="1:26" ht="14.25" customHeight="1">
      <c r="A65" s="73"/>
      <c r="B65" s="73"/>
      <c r="C65" s="73"/>
      <c r="D65" s="73"/>
      <c r="E65" s="73"/>
      <c r="F65" s="73"/>
      <c r="G65" s="73"/>
      <c r="H65" s="94" t="s">
        <v>338</v>
      </c>
      <c r="I65" s="73"/>
      <c r="J65" s="73"/>
      <c r="K65" s="73"/>
      <c r="L65" s="73"/>
      <c r="M65" s="73"/>
      <c r="N65" s="73"/>
      <c r="O65" s="73"/>
      <c r="P65" s="73"/>
      <c r="Q65" s="73"/>
      <c r="R65" s="73"/>
      <c r="S65" s="73"/>
      <c r="T65" s="73"/>
      <c r="U65" s="73"/>
      <c r="V65" s="73"/>
      <c r="W65" s="73"/>
      <c r="X65" s="73"/>
      <c r="Y65" s="73"/>
      <c r="Z65" s="73"/>
    </row>
    <row r="66" spans="1:26" ht="14.25" customHeight="1">
      <c r="A66" s="73"/>
      <c r="B66" s="73"/>
      <c r="C66" s="73"/>
      <c r="D66" s="73"/>
      <c r="E66" s="73"/>
      <c r="F66" s="73"/>
      <c r="G66" s="73"/>
      <c r="H66" s="81" t="s">
        <v>339</v>
      </c>
      <c r="I66" s="73"/>
      <c r="J66" s="73"/>
      <c r="K66" s="73"/>
      <c r="L66" s="73"/>
      <c r="M66" s="73"/>
      <c r="N66" s="73"/>
      <c r="O66" s="73"/>
      <c r="P66" s="73"/>
      <c r="Q66" s="73"/>
      <c r="R66" s="73"/>
      <c r="S66" s="73"/>
      <c r="T66" s="73"/>
      <c r="U66" s="73"/>
      <c r="V66" s="73"/>
      <c r="W66" s="73"/>
      <c r="X66" s="73"/>
      <c r="Y66" s="73"/>
      <c r="Z66" s="73"/>
    </row>
    <row r="67" spans="1:26" ht="14.25" customHeight="1">
      <c r="A67" s="73"/>
      <c r="B67" s="73"/>
      <c r="C67" s="73"/>
      <c r="D67" s="73"/>
      <c r="E67" s="73"/>
      <c r="F67" s="73"/>
      <c r="G67" s="73"/>
      <c r="H67" s="86" t="s">
        <v>340</v>
      </c>
      <c r="I67" s="73"/>
      <c r="J67" s="73"/>
      <c r="K67" s="73"/>
      <c r="L67" s="73"/>
      <c r="M67" s="73"/>
      <c r="N67" s="73"/>
      <c r="O67" s="73"/>
      <c r="P67" s="73"/>
      <c r="Q67" s="73"/>
      <c r="R67" s="73"/>
      <c r="S67" s="73"/>
      <c r="T67" s="73"/>
      <c r="U67" s="73"/>
      <c r="V67" s="73"/>
      <c r="W67" s="73"/>
      <c r="X67" s="73"/>
      <c r="Y67" s="73"/>
      <c r="Z67" s="73"/>
    </row>
    <row r="68" spans="1:26" ht="14.25" customHeight="1">
      <c r="A68" s="73"/>
      <c r="B68" s="73"/>
      <c r="C68" s="73"/>
      <c r="D68" s="73"/>
      <c r="E68" s="73"/>
      <c r="F68" s="73"/>
      <c r="G68" s="73"/>
      <c r="H68" s="100" t="s">
        <v>341</v>
      </c>
      <c r="I68" s="73"/>
      <c r="J68" s="73"/>
      <c r="K68" s="73"/>
      <c r="L68" s="73"/>
      <c r="M68" s="73"/>
      <c r="N68" s="73"/>
      <c r="O68" s="73"/>
      <c r="P68" s="73"/>
      <c r="Q68" s="73"/>
      <c r="R68" s="73"/>
      <c r="S68" s="73"/>
      <c r="T68" s="73"/>
      <c r="U68" s="73"/>
      <c r="V68" s="73"/>
      <c r="W68" s="73"/>
      <c r="X68" s="73"/>
      <c r="Y68" s="73"/>
      <c r="Z68" s="73"/>
    </row>
    <row r="69" spans="1:26" ht="14.25" customHeight="1">
      <c r="A69" s="73"/>
      <c r="B69" s="73"/>
      <c r="C69" s="73"/>
      <c r="D69" s="73"/>
      <c r="E69" s="73"/>
      <c r="F69" s="73"/>
      <c r="G69" s="73"/>
      <c r="H69" s="85" t="s">
        <v>342</v>
      </c>
      <c r="I69" s="73"/>
      <c r="J69" s="73"/>
      <c r="K69" s="73"/>
      <c r="L69" s="73"/>
      <c r="M69" s="73"/>
      <c r="N69" s="73"/>
      <c r="O69" s="73"/>
      <c r="P69" s="73"/>
      <c r="Q69" s="73"/>
      <c r="R69" s="73"/>
      <c r="S69" s="73"/>
      <c r="T69" s="73"/>
      <c r="U69" s="73"/>
      <c r="V69" s="73"/>
      <c r="W69" s="73"/>
      <c r="X69" s="73"/>
      <c r="Y69" s="73"/>
      <c r="Z69" s="73"/>
    </row>
    <row r="70" spans="1:26" ht="14.25" customHeight="1">
      <c r="A70" s="73"/>
      <c r="B70" s="73"/>
      <c r="C70" s="73"/>
      <c r="D70" s="73"/>
      <c r="E70" s="73"/>
      <c r="F70" s="73"/>
      <c r="G70" s="73"/>
      <c r="H70" s="78" t="s">
        <v>343</v>
      </c>
      <c r="I70" s="73"/>
      <c r="J70" s="73"/>
      <c r="K70" s="73"/>
      <c r="L70" s="73"/>
      <c r="M70" s="73"/>
      <c r="N70" s="73"/>
      <c r="O70" s="73"/>
      <c r="P70" s="73"/>
      <c r="Q70" s="73"/>
      <c r="R70" s="73"/>
      <c r="S70" s="73"/>
      <c r="T70" s="73"/>
      <c r="U70" s="73"/>
      <c r="V70" s="73"/>
      <c r="W70" s="73"/>
      <c r="X70" s="73"/>
      <c r="Y70" s="73"/>
      <c r="Z70" s="73"/>
    </row>
    <row r="71" spans="1:26" ht="14.25" customHeight="1">
      <c r="A71" s="73"/>
      <c r="B71" s="73"/>
      <c r="C71" s="73"/>
      <c r="D71" s="73"/>
      <c r="E71" s="73"/>
      <c r="F71" s="73"/>
      <c r="G71" s="73"/>
      <c r="H71" s="85" t="s">
        <v>344</v>
      </c>
      <c r="I71" s="73"/>
      <c r="J71" s="73"/>
      <c r="K71" s="73"/>
      <c r="L71" s="73"/>
      <c r="M71" s="73"/>
      <c r="N71" s="73"/>
      <c r="O71" s="73"/>
      <c r="P71" s="73"/>
      <c r="Q71" s="73"/>
      <c r="R71" s="73"/>
      <c r="S71" s="73"/>
      <c r="T71" s="73"/>
      <c r="U71" s="73"/>
      <c r="V71" s="73"/>
      <c r="W71" s="73"/>
      <c r="X71" s="73"/>
      <c r="Y71" s="73"/>
      <c r="Z71" s="73"/>
    </row>
    <row r="72" spans="1:26" ht="14.25" customHeight="1">
      <c r="A72" s="73"/>
      <c r="B72" s="73"/>
      <c r="C72" s="73"/>
      <c r="D72" s="73"/>
      <c r="E72" s="73"/>
      <c r="F72" s="73"/>
      <c r="G72" s="73"/>
      <c r="H72" s="78" t="s">
        <v>345</v>
      </c>
      <c r="I72" s="73"/>
      <c r="J72" s="73"/>
      <c r="K72" s="73"/>
      <c r="L72" s="73"/>
      <c r="M72" s="73"/>
      <c r="N72" s="73"/>
      <c r="O72" s="73"/>
      <c r="P72" s="73"/>
      <c r="Q72" s="73"/>
      <c r="R72" s="73"/>
      <c r="S72" s="73"/>
      <c r="T72" s="73"/>
      <c r="U72" s="73"/>
      <c r="V72" s="73"/>
      <c r="W72" s="73"/>
      <c r="X72" s="73"/>
      <c r="Y72" s="73"/>
      <c r="Z72" s="73"/>
    </row>
    <row r="73" spans="1:26" ht="14.25" customHeight="1">
      <c r="A73" s="73"/>
      <c r="B73" s="73"/>
      <c r="C73" s="73"/>
      <c r="D73" s="73"/>
      <c r="E73" s="73"/>
      <c r="F73" s="73"/>
      <c r="G73" s="73"/>
      <c r="H73" s="101" t="s">
        <v>346</v>
      </c>
      <c r="I73" s="73"/>
      <c r="J73" s="73"/>
      <c r="K73" s="73"/>
      <c r="L73" s="73"/>
      <c r="M73" s="73"/>
      <c r="N73" s="73"/>
      <c r="O73" s="73"/>
      <c r="P73" s="73"/>
      <c r="Q73" s="73"/>
      <c r="R73" s="73"/>
      <c r="S73" s="73"/>
      <c r="T73" s="73"/>
      <c r="U73" s="73"/>
      <c r="V73" s="73"/>
      <c r="W73" s="73"/>
      <c r="X73" s="73"/>
      <c r="Y73" s="73"/>
      <c r="Z73" s="73"/>
    </row>
    <row r="74" spans="1:26" ht="14.25" customHeight="1">
      <c r="A74" s="73"/>
      <c r="B74" s="73"/>
      <c r="C74" s="73"/>
      <c r="D74" s="73"/>
      <c r="E74" s="73"/>
      <c r="F74" s="73"/>
      <c r="G74" s="73"/>
      <c r="H74" s="102" t="s">
        <v>1</v>
      </c>
      <c r="I74" s="73"/>
      <c r="J74" s="73"/>
      <c r="K74" s="73"/>
      <c r="L74" s="73"/>
      <c r="M74" s="73"/>
      <c r="N74" s="73"/>
      <c r="O74" s="73"/>
      <c r="P74" s="73"/>
      <c r="Q74" s="73"/>
      <c r="R74" s="73"/>
      <c r="S74" s="73"/>
      <c r="T74" s="73"/>
      <c r="U74" s="73"/>
      <c r="V74" s="73"/>
      <c r="W74" s="73"/>
      <c r="X74" s="73"/>
      <c r="Y74" s="73"/>
      <c r="Z74" s="73"/>
    </row>
    <row r="75" spans="1:26" ht="14.25" customHeight="1">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spans="1:26" ht="14.25" customHeight="1">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spans="1:26" ht="14.25" customHeight="1">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spans="1:26" ht="14.25" customHeight="1">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spans="1:26" ht="14.25" customHeight="1">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spans="1:26" ht="14.25" customHeight="1">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spans="1:26" ht="14.25" customHeight="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spans="1:26" ht="14.25" customHeight="1">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spans="1:26" ht="14.25" customHeight="1">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spans="1:26" ht="14.25" customHeight="1">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spans="1:26" ht="14.25" customHeight="1">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spans="1:26" ht="14.25" customHeight="1">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spans="1:26" ht="14.25" customHeight="1">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spans="1:26" ht="14.25" customHeight="1">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spans="1:26" ht="14.25" customHeight="1">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spans="1:26" ht="14.25" customHeight="1">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spans="1:26" ht="14.25" customHeight="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spans="1:26" ht="14.25" customHeight="1">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spans="1:26" ht="14.25" customHeight="1">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spans="1:26" ht="14.25" customHeight="1">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spans="1:26" ht="14.25" customHeight="1">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spans="1:26" ht="14.25" customHeight="1">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spans="1:26" ht="14.25" customHeight="1">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spans="1:26" ht="14.25" customHeight="1">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spans="1:26" ht="14.25" customHeight="1">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spans="1:26" ht="14.25" customHeight="1">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spans="1:26" ht="14.25" customHeight="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spans="1:26" ht="14.25" customHeight="1">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spans="1:26" ht="14.25" customHeight="1">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spans="1:26" ht="14.25" customHeight="1">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spans="1:26" ht="14.25" customHeight="1">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spans="1:26" ht="14.25" customHeight="1">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spans="1:26" ht="14.25" customHeight="1">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spans="1:26" ht="14.25" customHeight="1">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spans="1:26" ht="14.25" customHeight="1">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spans="1:26" ht="14.25" customHeight="1">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spans="1:26" ht="14.25" customHeight="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spans="1:26" ht="14.25" customHeight="1">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spans="1:26" ht="14.25" customHeight="1">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spans="1:26" ht="14.25" customHeight="1">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spans="1:26" ht="14.25" customHeight="1">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spans="1:26" ht="14.25" customHeight="1">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spans="1:26" ht="14.25" customHeight="1">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spans="1:26" ht="14.25" customHeight="1">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spans="1:26" ht="14.25" customHeight="1">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spans="1:26" ht="14.25" customHeight="1">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spans="1:26" ht="14.25" customHeight="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spans="1:26" ht="14.25" customHeight="1">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spans="1:26" ht="14.25" customHeight="1">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spans="1:26" ht="14.25" customHeight="1">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spans="1:26" ht="14.25" customHeight="1">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spans="1:26" ht="14.25" customHeight="1">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spans="1:26" ht="14.25" customHeight="1">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spans="1:26" ht="14.25" customHeight="1">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spans="1:26" ht="14.25" customHeight="1">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spans="1:26" ht="14.25" customHeight="1">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spans="1:26" ht="14.25" customHeight="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spans="1:26" ht="14.25" customHeight="1">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spans="1:26" ht="14.25" customHeight="1">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spans="1:26" ht="14.25" customHeight="1">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spans="1:26" ht="14.25" customHeight="1">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spans="1:26" ht="14.25" customHeight="1">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spans="1:26" ht="14.25" customHeight="1">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spans="1:26" ht="14.25" customHeight="1">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spans="1:26" ht="14.25" customHeight="1">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spans="1:26" ht="14.25" customHeight="1">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spans="1:26" ht="14.25" customHeight="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spans="1:26" ht="14.25" customHeight="1">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spans="1:26" ht="14.25" customHeight="1">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spans="1:26" ht="14.25" customHeight="1">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spans="1:26" ht="14.25" customHeight="1">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spans="1:26" ht="14.25" customHeight="1">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spans="1:26" ht="14.25" customHeight="1">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spans="1:26" ht="14.25" customHeight="1">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spans="1:26" ht="14.25" customHeight="1">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spans="1:26" ht="14.25" customHeight="1">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spans="1:26" ht="14.25" customHeight="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spans="1:26" ht="14.25" customHeight="1">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spans="1:26" ht="14.25" customHeight="1">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spans="1:26" ht="14.25" customHeight="1">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spans="1:26" ht="14.25" customHeight="1">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spans="1:26" ht="14.25" customHeight="1">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spans="1:26" ht="14.25" customHeight="1">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spans="1:26" ht="14.25" customHeight="1">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spans="1:26" ht="14.25" customHeight="1">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spans="1:26" ht="14.25" customHeight="1">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spans="1:26" ht="14.25" customHeight="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spans="1:26" ht="14.25" customHeight="1">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spans="1:26" ht="14.25" customHeight="1">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spans="1:26" ht="14.25" customHeight="1">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spans="1:26" ht="14.25" customHeight="1">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spans="1:26" ht="14.25" customHeight="1">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spans="1:26" ht="14.25" customHeight="1">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spans="1:26" ht="14.25" customHeight="1">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spans="1:26" ht="14.25" customHeight="1">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spans="1:26" ht="14.25" customHeight="1">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spans="1:26" ht="14.25" customHeight="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spans="1:26" ht="14.25" customHeight="1">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spans="1:26" ht="14.25" customHeight="1">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spans="1:26" ht="14.25" customHeight="1">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spans="1:26" ht="14.25" customHeight="1">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spans="1:26" ht="14.25" customHeight="1">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spans="1:26" ht="14.25" customHeight="1">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spans="1:26" ht="14.25" customHeight="1">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spans="1:26" ht="14.25" customHeight="1">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spans="1:26" ht="14.25" customHeight="1">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spans="1:26" ht="14.25" customHeight="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spans="1:26" ht="14.25" customHeight="1">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spans="1:26" ht="14.25" customHeight="1">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spans="1:26" ht="14.25" customHeight="1">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spans="1:26" ht="14.25" customHeight="1">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spans="1:26" ht="14.25" customHeight="1">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spans="1:26" ht="14.25" customHeight="1">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spans="1:26" ht="14.25" customHeight="1">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spans="1:26" ht="14.25" customHeight="1">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spans="1:26" ht="14.25" customHeight="1">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spans="1:26" ht="14.25" customHeight="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spans="1:26" ht="14.25" customHeight="1">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spans="1:26" ht="14.25" customHeight="1">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spans="1:26" ht="14.25" customHeight="1">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spans="1:26" ht="14.25" customHeight="1">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spans="1:26" ht="14.25" customHeight="1">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spans="1:26" ht="14.25" customHeight="1">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spans="1:26" ht="14.25" customHeight="1">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spans="1:26" ht="14.25" customHeight="1">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spans="1:26" ht="14.25" customHeight="1">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spans="1:26" ht="14.25" customHeight="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spans="1:26" ht="14.25" customHeight="1">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spans="1:26" ht="14.25" customHeight="1">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spans="1:26" ht="14.25" customHeight="1">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spans="1:26" ht="14.25" customHeight="1">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spans="1:26" ht="14.25" customHeight="1">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spans="1:26" ht="14.25" customHeight="1">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spans="1:26" ht="14.25" customHeight="1">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spans="1:26" ht="14.25" customHeight="1">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spans="1:26" ht="14.25" customHeight="1">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spans="1:26" ht="14.25" customHeight="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spans="1:26" ht="14.25" customHeight="1">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spans="1:26" ht="14.25" customHeight="1">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spans="1:26" ht="14.25" customHeight="1">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spans="1:26" ht="14.25" customHeight="1">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spans="1:26" ht="14.25" customHeight="1">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spans="1:26" ht="14.25" customHeight="1">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spans="1:26" ht="14.25" customHeight="1">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spans="1:26" ht="14.25" customHeight="1">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spans="1:26" ht="14.25" customHeight="1">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spans="1:26" ht="14.25" customHeight="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spans="1:26" ht="14.25" customHeight="1">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spans="1:26" ht="14.25" customHeight="1">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spans="1:26" ht="14.25" customHeight="1">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spans="1:26" ht="14.25" customHeight="1">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spans="1:26" ht="14.25" customHeight="1">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spans="1:26" ht="14.25" customHeight="1">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spans="1:26" ht="14.25" customHeight="1">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spans="1:26" ht="14.25" customHeight="1">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spans="1:26" ht="14.25" customHeight="1">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spans="1:26" ht="14.25" customHeight="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spans="1:26" ht="14.25" customHeight="1">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spans="1:26" ht="14.25" customHeight="1">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spans="1:26" ht="14.25" customHeight="1">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spans="1:26" ht="14.25" customHeight="1">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spans="1:26" ht="14.25" customHeight="1">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spans="1:26" ht="14.25" customHeight="1">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spans="1:26" ht="14.25" customHeight="1">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spans="1:26" ht="14.25" customHeight="1">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spans="1:26" ht="14.25" customHeight="1">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spans="1:26" ht="14.25" customHeight="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spans="1:26" ht="14.25" customHeight="1">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spans="1:26" ht="14.25" customHeight="1">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spans="1:26" ht="14.25" customHeight="1">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spans="1:26" ht="14.25" customHeight="1">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spans="1:26" ht="14.25" customHeight="1">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spans="1:26" ht="14.25" customHeight="1">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spans="1:26" ht="14.25" customHeight="1">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spans="1:26" ht="14.25" customHeight="1">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spans="1:26" ht="14.25" customHeight="1">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spans="1:26" ht="14.25" customHeight="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spans="1:26" ht="14.25" customHeight="1">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spans="1:26" ht="14.25" customHeight="1">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spans="1:26" ht="14.25" customHeight="1">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spans="1:26" ht="14.25" customHeight="1">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spans="1:26" ht="14.25" customHeight="1">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spans="1:26" ht="14.25" customHeight="1">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spans="1:26" ht="14.25" customHeight="1">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spans="1:26" ht="14.25" customHeight="1">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spans="1:26" ht="14.25" customHeight="1">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spans="1:26" ht="14.25" customHeight="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spans="1:26" ht="14.25" customHeight="1">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spans="1:26" ht="14.25" customHeight="1">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spans="1:26" ht="14.25" customHeight="1">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spans="1:26" ht="14.25" customHeight="1">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spans="1:26" ht="14.25" customHeight="1">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spans="1:26" ht="14.25" customHeight="1">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spans="1:26" ht="14.25" customHeight="1">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spans="1:26" ht="14.25" customHeight="1">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spans="1:26" ht="14.25" customHeight="1">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spans="1:26" ht="14.25" customHeight="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spans="1:26" ht="14.25" customHeight="1">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spans="1:26" ht="14.25" customHeight="1">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spans="1:26" ht="14.25" customHeight="1">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spans="1:26" ht="14.25" customHeight="1">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spans="1:26" ht="14.25" customHeight="1">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spans="1:26" ht="14.25" customHeight="1">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spans="1:26" ht="14.25" customHeight="1">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spans="1:26" ht="14.25" customHeight="1">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spans="1:26" ht="14.25" customHeight="1">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spans="1:26" ht="14.25" customHeight="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spans="1:26" ht="14.25" customHeight="1">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spans="1:26" ht="14.25" customHeight="1">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spans="1:26" ht="14.25" customHeight="1">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spans="1:26" ht="14.25" customHeight="1">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spans="1:26" ht="14.25" customHeight="1">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spans="1:26" ht="14.25" customHeight="1">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spans="1:26" ht="14.25" customHeight="1">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spans="1:26" ht="14.25" customHeight="1">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spans="1:26" ht="14.25" customHeight="1">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spans="1:26" ht="14.25" customHeight="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spans="1:26" ht="14.25" customHeight="1">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spans="1:26" ht="14.25" customHeight="1">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spans="1:26" ht="14.25" customHeight="1">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spans="1:26" ht="14.25" customHeight="1">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spans="1:26" ht="14.25" customHeight="1">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spans="1:26" ht="14.25" customHeight="1">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spans="1:26" ht="14.25" customHeight="1">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spans="1:26" ht="14.25" customHeight="1">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spans="1:26" ht="14.25" customHeight="1">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spans="1:26" ht="14.25" customHeight="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spans="1:26" ht="14.25" customHeight="1">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spans="1:26" ht="14.25" customHeight="1">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spans="1:26" ht="14.25" customHeight="1">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spans="1:26" ht="14.25" customHeight="1">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spans="1:26" ht="14.25" customHeight="1">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spans="1:26" ht="14.25" customHeight="1">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spans="1:26" ht="14.25" customHeight="1">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spans="1:26" ht="14.25" customHeight="1">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spans="1:26" ht="14.25" customHeight="1">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spans="1:26" ht="14.25" customHeight="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spans="1:26" ht="14.25" customHeight="1">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spans="1:26" ht="14.25" customHeight="1">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spans="1:26" ht="14.25" customHeight="1">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spans="1:26" ht="14.25" customHeight="1">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spans="1:26" ht="14.25" customHeight="1">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spans="1:26" ht="14.25" customHeight="1">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spans="1:26" ht="14.25" customHeight="1">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spans="1:26" ht="14.25" customHeight="1">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spans="1:26" ht="14.25" customHeight="1">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spans="1:26" ht="14.25" customHeight="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spans="1:26" ht="14.25" customHeight="1">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spans="1:26" ht="14.25" customHeight="1">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spans="1:26" ht="14.25" customHeight="1">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spans="1:26" ht="14.25" customHeight="1">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spans="1:26" ht="14.25" customHeight="1">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spans="1:26" ht="14.25" customHeight="1">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spans="1:26" ht="14.25" customHeight="1">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spans="1:26" ht="14.25" customHeight="1">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spans="1:26" ht="14.25" customHeight="1">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spans="1:26" ht="14.25" customHeight="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spans="1:26" ht="14.25" customHeight="1">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spans="1:26" ht="14.25" customHeight="1">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spans="1:26" ht="14.25" customHeight="1">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spans="1:26" ht="14.25" customHeight="1">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spans="1:26" ht="14.25" customHeight="1">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spans="1:26" ht="14.25" customHeight="1">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spans="1:26" ht="14.25" customHeight="1">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spans="1:26" ht="14.25" customHeight="1">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spans="1:26" ht="14.25" customHeight="1">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spans="1:26" ht="14.25" customHeight="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spans="1:26" ht="14.25" customHeight="1">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spans="1:26" ht="14.25" customHeight="1">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spans="1:26" ht="14.25" customHeight="1">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spans="1:26" ht="14.25" customHeight="1">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spans="1:26" ht="14.25" customHeight="1">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spans="1:26" ht="14.25" customHeight="1">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spans="1:26" ht="14.25" customHeight="1">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spans="1:26" ht="14.25" customHeight="1">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spans="1:26" ht="14.25" customHeight="1">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spans="1:26" ht="14.25" customHeight="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spans="1:26" ht="14.25" customHeight="1">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spans="1:26" ht="14.25" customHeight="1">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spans="1:26" ht="14.25" customHeight="1">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spans="1:26" ht="14.25" customHeight="1">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spans="1:26" ht="14.25" customHeight="1">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spans="1:26" ht="14.25" customHeight="1">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spans="1:26" ht="14.25" customHeight="1">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spans="1:26" ht="14.25" customHeight="1">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spans="1:26" ht="14.25" customHeight="1">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spans="1:26" ht="14.25" customHeight="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spans="1:26" ht="14.25" customHeight="1">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spans="1:26" ht="14.25" customHeight="1">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spans="1:26" ht="14.25" customHeight="1">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spans="1:26" ht="14.25" customHeight="1">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spans="1:26" ht="14.25" customHeight="1">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spans="1:26" ht="14.25" customHeight="1">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spans="1:26" ht="14.25" customHeight="1">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spans="1:26" ht="14.25" customHeight="1">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spans="1:26" ht="14.25" customHeight="1">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spans="1:26" ht="14.25" customHeight="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spans="1:26" ht="14.25" customHeight="1">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spans="1:26" ht="14.25" customHeight="1">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spans="1:26" ht="14.25" customHeight="1">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spans="1:26" ht="14.25" customHeight="1">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spans="1:26" ht="14.25" customHeight="1">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spans="1:26" ht="14.25" customHeight="1">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spans="1:26" ht="14.25" customHeight="1">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spans="1:26" ht="14.25" customHeight="1">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spans="1:26" ht="14.25" customHeight="1">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spans="1:26" ht="14.25" customHeight="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spans="1:26" ht="14.25" customHeight="1">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spans="1:26" ht="14.25" customHeight="1">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spans="1:26" ht="14.25" customHeight="1">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spans="1:26" ht="14.25" customHeight="1">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spans="1:26" ht="14.25" customHeight="1">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spans="1:26" ht="14.25" customHeight="1">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spans="1:26" ht="14.25" customHeight="1">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spans="1:26" ht="14.25" customHeight="1">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spans="1:26" ht="14.25" customHeight="1">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spans="1:26" ht="14.25" customHeight="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spans="1:26" ht="14.25" customHeight="1">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spans="1:26" ht="14.25" customHeight="1">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spans="1:26" ht="14.25" customHeight="1">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spans="1:26" ht="14.25" customHeight="1">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spans="1:26" ht="14.25" customHeight="1">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spans="1:26" ht="14.25" customHeight="1">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spans="1:26" ht="14.25" customHeight="1">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spans="1:26" ht="14.25" customHeight="1">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spans="1:26" ht="14.25" customHeight="1">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spans="1:26" ht="14.25" customHeight="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spans="1:26" ht="14.25" customHeight="1">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spans="1:26" ht="14.25" customHeight="1">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spans="1:26" ht="14.25" customHeight="1">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spans="1:26" ht="14.25" customHeight="1">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spans="1:26" ht="14.25" customHeight="1">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spans="1:26" ht="14.25" customHeight="1">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spans="1:26" ht="14.25" customHeight="1">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spans="1:26" ht="14.25" customHeight="1">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spans="1:26" ht="14.25" customHeight="1">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spans="1:26" ht="14.25" customHeight="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spans="1:26" ht="14.25" customHeight="1">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spans="1:26" ht="14.25" customHeight="1">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spans="1:26" ht="14.25" customHeight="1">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spans="1:26" ht="14.25" customHeight="1">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spans="1:26" ht="14.25" customHeight="1">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spans="1:26" ht="14.25" customHeight="1">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spans="1:26" ht="14.25" customHeight="1">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spans="1:26" ht="14.25" customHeight="1">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spans="1:26" ht="14.25" customHeight="1">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spans="1:26" ht="14.25" customHeight="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spans="1:26" ht="14.25" customHeight="1">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spans="1:26" ht="14.25" customHeight="1">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spans="1:26" ht="14.25" customHeight="1">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spans="1:26" ht="14.25" customHeight="1">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spans="1:26" ht="14.25" customHeight="1">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spans="1:26" ht="14.25" customHeight="1">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spans="1:26" ht="14.25" customHeight="1">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spans="1:26" ht="14.25" customHeight="1">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spans="1:26" ht="14.25" customHeight="1">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spans="1:26" ht="14.25" customHeight="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spans="1:26" ht="14.25" customHeight="1">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spans="1:26" ht="14.25" customHeight="1">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spans="1:26" ht="14.25" customHeight="1">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spans="1:26" ht="14.25" customHeight="1">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spans="1:26" ht="14.25" customHeight="1">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spans="1:26" ht="14.25" customHeight="1">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spans="1:26" ht="14.25" customHeight="1">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spans="1:26" ht="14.25" customHeight="1">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spans="1:26" ht="14.25" customHeight="1">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spans="1:26" ht="14.25" customHeight="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spans="1:26" ht="14.25" customHeight="1">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spans="1:26" ht="14.25" customHeight="1">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spans="1:26" ht="14.25" customHeight="1">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spans="1:26" ht="14.25" customHeight="1">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spans="1:26" ht="14.25" customHeight="1">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spans="1:26" ht="14.25" customHeight="1">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spans="1:26" ht="14.25" customHeight="1">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spans="1:26" ht="14.25" customHeight="1">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spans="1:26" ht="14.25" customHeight="1">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spans="1:26" ht="14.25" customHeight="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spans="1:26" ht="14.25" customHeight="1">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spans="1:26" ht="14.25" customHeight="1">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spans="1:26" ht="14.25" customHeight="1">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spans="1:26" ht="14.25" customHeight="1">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spans="1:26" ht="14.25" customHeight="1">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spans="1:26" ht="14.25" customHeight="1">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spans="1:26" ht="14.25" customHeight="1">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spans="1:26" ht="14.25" customHeight="1">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spans="1:26" ht="14.25" customHeight="1">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spans="1:26" ht="14.25" customHeight="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spans="1:26" ht="14.25" customHeight="1">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spans="1:26" ht="14.25" customHeight="1">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spans="1:26" ht="14.25" customHeight="1">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spans="1:26" ht="14.25" customHeight="1">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spans="1:26" ht="14.25" customHeight="1">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spans="1:26" ht="14.25" customHeight="1">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spans="1:26" ht="14.25" customHeight="1">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spans="1:26" ht="14.25" customHeight="1">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spans="1:26" ht="14.25" customHeight="1">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spans="1:26" ht="14.25" customHeight="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spans="1:26" ht="14.25" customHeight="1">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spans="1:26" ht="14.25" customHeight="1">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spans="1:26" ht="14.25" customHeight="1">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spans="1:26" ht="14.25" customHeight="1">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spans="1:26" ht="14.25" customHeight="1">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spans="1:26" ht="14.25" customHeight="1">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spans="1:26" ht="14.25" customHeight="1">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spans="1:26" ht="14.25" customHeight="1">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spans="1:26" ht="14.25" customHeight="1">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spans="1:26" ht="14.25" customHeight="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spans="1:26" ht="14.25" customHeight="1">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spans="1:26" ht="14.25" customHeight="1">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spans="1:26" ht="14.25" customHeight="1">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spans="1:26" ht="14.25" customHeight="1">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spans="1:26" ht="14.25" customHeight="1">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spans="1:26" ht="14.25" customHeight="1">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spans="1:26" ht="14.25" customHeight="1">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spans="1:26" ht="14.25" customHeight="1">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spans="1:26" ht="14.25" customHeight="1">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spans="1:26" ht="14.25" customHeight="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spans="1:26" ht="14.25" customHeight="1">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spans="1:26" ht="14.25" customHeight="1">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spans="1:26" ht="14.25" customHeight="1">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spans="1:26" ht="14.25" customHeight="1">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spans="1:26" ht="14.25" customHeight="1">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spans="1:26" ht="14.25" customHeight="1">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spans="1:26" ht="14.25" customHeight="1">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spans="1:26" ht="14.25" customHeight="1">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spans="1:26" ht="14.25" customHeight="1">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spans="1:26" ht="14.25" customHeight="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spans="1:26" ht="14.25" customHeight="1">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spans="1:26" ht="14.25" customHeight="1">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spans="1:26" ht="14.25" customHeight="1">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spans="1:26" ht="14.25" customHeight="1">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spans="1:26" ht="14.25" customHeight="1">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spans="1:26" ht="14.25" customHeight="1">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spans="1:26" ht="14.25" customHeight="1">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spans="1:26" ht="14.25" customHeight="1">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spans="1:26" ht="14.25" customHeight="1">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spans="1:26" ht="14.25" customHeight="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spans="1:26" ht="14.25" customHeight="1">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spans="1:26" ht="14.25" customHeight="1">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spans="1:26" ht="14.25" customHeight="1">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spans="1:26" ht="14.25" customHeight="1">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spans="1:26" ht="14.25" customHeight="1">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spans="1:26" ht="14.25" customHeight="1">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spans="1:26" ht="14.25" customHeight="1">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spans="1:26" ht="14.25" customHeight="1">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spans="1:26" ht="14.25" customHeight="1">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spans="1:26" ht="14.25" customHeight="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spans="1:26" ht="14.25" customHeight="1">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spans="1:26" ht="14.25" customHeight="1">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spans="1:26" ht="14.25" customHeight="1">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spans="1:26" ht="14.25" customHeight="1">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spans="1:26" ht="14.25" customHeight="1">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spans="1:26" ht="14.25" customHeight="1">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spans="1:26" ht="14.25" customHeight="1">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spans="1:26" ht="14.25" customHeight="1">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spans="1:26" ht="14.25" customHeight="1">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spans="1:26" ht="14.25" customHeight="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spans="1:26" ht="14.25" customHeight="1">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spans="1:26" ht="14.25" customHeight="1">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spans="1:26" ht="14.25" customHeight="1">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spans="1:26" ht="14.25" customHeight="1">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spans="1:26" ht="14.25" customHeight="1">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spans="1:26" ht="14.25" customHeight="1">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spans="1:26" ht="14.25" customHeight="1">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spans="1:26" ht="14.25" customHeight="1">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spans="1:26" ht="14.25" customHeight="1">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spans="1:26" ht="14.25" customHeight="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spans="1:26" ht="14.25" customHeight="1">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spans="1:26" ht="14.25" customHeight="1">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spans="1:26" ht="14.25" customHeight="1">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spans="1:26" ht="14.25" customHeight="1">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spans="1:26" ht="14.25" customHeight="1">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spans="1:26" ht="14.25" customHeight="1">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spans="1:26" ht="14.25" customHeight="1">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spans="1:26" ht="14.25" customHeight="1">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spans="1:26" ht="14.25" customHeight="1">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spans="1:26" ht="14.25" customHeight="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spans="1:26" ht="14.25" customHeight="1">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spans="1:26" ht="14.25" customHeight="1">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spans="1:26" ht="14.25" customHeight="1">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spans="1:26" ht="14.25" customHeight="1">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spans="1:26" ht="14.25" customHeight="1">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spans="1:26" ht="14.25" customHeight="1">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spans="1:26" ht="14.25" customHeight="1">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spans="1:26" ht="14.25" customHeight="1">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spans="1:26" ht="14.25" customHeight="1">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spans="1:26" ht="14.25" customHeight="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spans="1:26" ht="14.25" customHeight="1">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spans="1:26" ht="14.25" customHeight="1">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spans="1:26" ht="14.25" customHeight="1">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spans="1:26" ht="14.25" customHeight="1">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spans="1:26" ht="14.25" customHeight="1">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spans="1:26" ht="14.25" customHeight="1">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spans="1:26" ht="14.25" customHeight="1">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spans="1:26" ht="14.25" customHeight="1">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spans="1:26" ht="14.25" customHeight="1">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spans="1:26" ht="14.25" customHeight="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spans="1:26" ht="14.25" customHeight="1">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spans="1:26" ht="14.25" customHeight="1">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spans="1:26" ht="14.25" customHeight="1">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spans="1:26" ht="14.25" customHeight="1">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spans="1:26" ht="14.25" customHeight="1">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spans="1:26" ht="14.25" customHeight="1">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spans="1:26" ht="14.25" customHeight="1">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spans="1:26" ht="14.25" customHeight="1">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spans="1:26" ht="14.25" customHeight="1">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spans="1:26" ht="14.25" customHeight="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spans="1:26" ht="14.25" customHeight="1">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spans="1:26" ht="14.25" customHeight="1">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spans="1:26" ht="14.25" customHeight="1">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spans="1:26" ht="14.25" customHeight="1">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spans="1:26" ht="14.25" customHeight="1">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spans="1:26" ht="14.25" customHeight="1">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spans="1:26" ht="14.25" customHeight="1">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spans="1:26" ht="14.25" customHeight="1">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spans="1:26" ht="14.25" customHeight="1">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spans="1:26" ht="14.25" customHeight="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spans="1:26" ht="14.25" customHeight="1">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spans="1:26" ht="14.25" customHeight="1">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spans="1:26" ht="14.25" customHeight="1">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spans="1:26" ht="14.25" customHeight="1">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spans="1:26" ht="14.25" customHeight="1">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spans="1:26" ht="14.25" customHeight="1">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spans="1:26" ht="14.25" customHeight="1">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spans="1:26" ht="14.25" customHeight="1">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spans="1:26" ht="14.25" customHeight="1">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spans="1:26" ht="14.25" customHeight="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spans="1:26" ht="14.25" customHeight="1">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spans="1:26" ht="14.25" customHeight="1">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spans="1:26" ht="14.25" customHeight="1">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spans="1:26" ht="14.25" customHeight="1">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spans="1:26" ht="14.25" customHeight="1">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spans="1:26" ht="14.25" customHeight="1">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spans="1:26" ht="14.25" customHeight="1">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spans="1:26" ht="14.25" customHeight="1">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spans="1:26" ht="14.25" customHeight="1">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spans="1:26" ht="14.25" customHeight="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spans="1:26" ht="14.25" customHeight="1">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spans="1:26" ht="14.25" customHeight="1">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spans="1:26" ht="14.25" customHeight="1">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spans="1:26" ht="14.25" customHeight="1">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spans="1:26" ht="14.25" customHeight="1">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spans="1:26" ht="14.25" customHeight="1">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spans="1:26" ht="14.25" customHeight="1">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spans="1:26" ht="14.25" customHeight="1">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spans="1:26" ht="14.25" customHeight="1">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spans="1:26" ht="14.25" customHeight="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spans="1:26" ht="14.25" customHeight="1">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spans="1:26" ht="14.25" customHeight="1">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spans="1:26" ht="14.25" customHeight="1">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spans="1:26" ht="14.25" customHeight="1">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spans="1:26" ht="14.25" customHeight="1">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spans="1:26" ht="14.25" customHeight="1">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spans="1:26" ht="14.25" customHeight="1">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spans="1:26" ht="14.25" customHeight="1">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spans="1:26" ht="14.25" customHeight="1">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spans="1:26" ht="14.25" customHeight="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spans="1:26" ht="14.25" customHeight="1">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spans="1:26" ht="14.25" customHeight="1">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spans="1:26" ht="14.25" customHeight="1">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spans="1:26" ht="14.25" customHeight="1">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spans="1:26" ht="14.25" customHeight="1">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spans="1:26" ht="14.25" customHeight="1">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spans="1:26" ht="14.25" customHeight="1">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spans="1:26" ht="14.25" customHeight="1">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spans="1:26" ht="14.25" customHeight="1">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spans="1:26" ht="14.25" customHeight="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spans="1:26" ht="14.25" customHeight="1">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spans="1:26" ht="14.25" customHeight="1">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spans="1:26" ht="14.25" customHeight="1">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spans="1:26" ht="14.25" customHeight="1">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spans="1:26" ht="14.25" customHeight="1">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spans="1:26" ht="14.25" customHeight="1">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spans="1:26" ht="14.25" customHeight="1">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spans="1:26" ht="14.25" customHeight="1">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spans="1:26" ht="14.25" customHeight="1">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spans="1:26" ht="14.25" customHeight="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spans="1:26" ht="14.25" customHeight="1">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spans="1:26" ht="14.25" customHeight="1">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spans="1:26" ht="14.25" customHeight="1">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spans="1:26" ht="14.25" customHeight="1">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spans="1:26" ht="14.25" customHeight="1">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spans="1:26" ht="14.25" customHeight="1">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spans="1:26" ht="14.25" customHeight="1">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spans="1:26" ht="14.25" customHeight="1">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spans="1:26" ht="14.25" customHeight="1">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spans="1:26" ht="14.25" customHeight="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spans="1:26" ht="14.25" customHeight="1">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spans="1:26" ht="14.25" customHeight="1">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spans="1:26" ht="14.25" customHeight="1">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spans="1:26" ht="14.25" customHeight="1">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spans="1:26" ht="14.25" customHeight="1">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spans="1:26" ht="14.25" customHeight="1">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spans="1:26" ht="14.25" customHeight="1">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spans="1:26" ht="14.25" customHeight="1">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spans="1:26" ht="14.25" customHeight="1">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spans="1:26" ht="14.25" customHeight="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spans="1:26" ht="14.25" customHeight="1">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spans="1:26" ht="14.25" customHeight="1">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spans="1:26" ht="14.25" customHeight="1">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spans="1:26" ht="14.25" customHeight="1">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spans="1:26" ht="14.25" customHeight="1">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spans="1:26" ht="14.25" customHeight="1">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spans="1:26" ht="14.25" customHeight="1">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spans="1:26" ht="14.25" customHeight="1">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spans="1:26" ht="14.25" customHeight="1">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spans="1:26" ht="14.25" customHeight="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spans="1:26" ht="14.25" customHeight="1">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spans="1:26" ht="14.25" customHeight="1">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spans="1:26" ht="14.25" customHeight="1">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spans="1:26" ht="14.25" customHeight="1">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spans="1:26" ht="14.25" customHeight="1">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spans="1:26" ht="14.25" customHeight="1">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spans="1:26" ht="14.25" customHeight="1">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spans="1:26" ht="14.25" customHeight="1">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spans="1:26" ht="14.25" customHeight="1">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spans="1:26" ht="14.25" customHeight="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spans="1:26" ht="14.25" customHeight="1">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spans="1:26" ht="14.25" customHeight="1">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spans="1:26" ht="14.25" customHeight="1">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spans="1:26" ht="14.25" customHeight="1">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spans="1:26" ht="14.25" customHeight="1">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spans="1:26" ht="14.25" customHeight="1">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spans="1:26" ht="14.25" customHeight="1">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spans="1:26" ht="14.25" customHeight="1">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spans="1:26" ht="14.25" customHeight="1">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spans="1:26" ht="14.25" customHeight="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spans="1:26" ht="14.25" customHeight="1">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spans="1:26" ht="14.25" customHeight="1">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spans="1:26" ht="14.25" customHeight="1">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spans="1:26" ht="14.25" customHeight="1">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spans="1:26" ht="14.25" customHeight="1">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spans="1:26" ht="14.25" customHeight="1">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spans="1:26" ht="14.25" customHeight="1">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spans="1:26" ht="14.25" customHeight="1">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spans="1:26" ht="14.25" customHeight="1">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spans="1:26" ht="14.25" customHeight="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spans="1:26" ht="14.25" customHeight="1">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spans="1:26" ht="14.25" customHeight="1">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spans="1:26" ht="14.25" customHeight="1">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spans="1:26" ht="14.25" customHeight="1">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spans="1:26" ht="14.25" customHeight="1">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spans="1:26" ht="14.25" customHeight="1">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spans="1:26" ht="14.25" customHeight="1">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spans="1:26" ht="14.25" customHeight="1">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spans="1:26" ht="14.25" customHeight="1">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spans="1:26" ht="14.25" customHeight="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spans="1:26" ht="14.25" customHeight="1">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spans="1:26" ht="14.25" customHeight="1">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spans="1:26" ht="14.25" customHeight="1">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spans="1:26" ht="14.25" customHeight="1">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spans="1:26" ht="14.25" customHeight="1">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spans="1:26" ht="14.25" customHeight="1">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spans="1:26" ht="14.25" customHeight="1">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spans="1:26" ht="14.25" customHeight="1">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spans="1:26" ht="14.25" customHeight="1">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spans="1:26" ht="14.25" customHeight="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spans="1:26" ht="14.25" customHeight="1">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spans="1:26" ht="14.25" customHeight="1">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spans="1:26" ht="14.25" customHeight="1">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spans="1:26" ht="14.25" customHeight="1">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spans="1:26" ht="14.25" customHeight="1">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spans="1:26" ht="14.25" customHeight="1">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spans="1:26" ht="14.25" customHeight="1">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spans="1:26" ht="14.25" customHeight="1">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spans="1:26" ht="14.25" customHeight="1">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spans="1:26" ht="14.25" customHeight="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spans="1:26" ht="14.25" customHeight="1">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spans="1:26" ht="14.25" customHeight="1">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spans="1:26" ht="14.25" customHeight="1">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spans="1:26" ht="14.25" customHeight="1">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spans="1:26" ht="14.25" customHeight="1">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spans="1:26" ht="14.25" customHeight="1">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spans="1:26" ht="14.25" customHeight="1">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spans="1:26" ht="14.25" customHeight="1">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spans="1:26" ht="14.25" customHeight="1">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spans="1:26" ht="14.25" customHeight="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spans="1:26" ht="14.25" customHeight="1">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spans="1:26" ht="14.25" customHeight="1">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spans="1:26" ht="14.25" customHeight="1">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spans="1:26" ht="14.25" customHeight="1">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spans="1:26" ht="14.25" customHeight="1">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spans="1:26" ht="14.25" customHeight="1">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spans="1:26" ht="14.25" customHeight="1">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spans="1:26" ht="14.25" customHeight="1">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spans="1:26" ht="14.25" customHeight="1">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spans="1:26" ht="14.25" customHeight="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spans="1:26" ht="14.25" customHeight="1">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spans="1:26" ht="14.25" customHeight="1">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spans="1:26" ht="14.25" customHeight="1">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spans="1:26" ht="14.25" customHeight="1">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spans="1:26" ht="14.25" customHeight="1">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spans="1:26" ht="14.25" customHeight="1">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spans="1:26" ht="14.25" customHeight="1">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spans="1:26" ht="14.25" customHeight="1">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spans="1:26" ht="14.25" customHeight="1">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spans="1:26" ht="14.25" customHeight="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spans="1:26" ht="14.25" customHeight="1">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spans="1:26" ht="14.25" customHeight="1">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spans="1:26" ht="14.25" customHeight="1">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spans="1:26" ht="14.25" customHeight="1">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spans="1:26" ht="14.25" customHeight="1">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spans="1:26" ht="14.25" customHeight="1">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spans="1:26" ht="14.25" customHeight="1">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spans="1:26" ht="14.25" customHeight="1">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spans="1:26" ht="14.25" customHeight="1">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spans="1:26" ht="14.25" customHeight="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spans="1:26" ht="14.25" customHeight="1">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spans="1:26" ht="14.25" customHeight="1">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spans="1:26" ht="14.25" customHeight="1">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spans="1:26" ht="14.25" customHeight="1">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spans="1:26" ht="14.25" customHeight="1">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spans="1:26" ht="14.25" customHeight="1">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spans="1:26" ht="14.25" customHeight="1">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spans="1:26" ht="14.25" customHeight="1">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spans="1:26" ht="14.25" customHeight="1">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spans="1:26" ht="14.25" customHeight="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spans="1:26" ht="14.25" customHeight="1">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spans="1:26" ht="14.25" customHeight="1">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spans="1:26" ht="14.25" customHeight="1">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spans="1:26" ht="14.25" customHeight="1">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spans="1:26" ht="14.25" customHeight="1">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spans="1:26" ht="14.25" customHeight="1">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spans="1:26" ht="14.25" customHeight="1">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spans="1:26" ht="14.25" customHeight="1">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spans="1:26" ht="14.25" customHeight="1">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spans="1:26" ht="14.25" customHeight="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spans="1:26" ht="14.25" customHeight="1">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spans="1:26" ht="14.25" customHeight="1">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spans="1:26" ht="14.25" customHeight="1">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spans="1:26" ht="14.25" customHeight="1">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spans="1:26" ht="14.25" customHeight="1">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spans="1:26" ht="14.25" customHeight="1">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spans="1:26" ht="14.25" customHeight="1">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spans="1:26" ht="14.25" customHeight="1">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spans="1:26" ht="14.25" customHeight="1">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spans="1:26" ht="14.25" customHeight="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spans="1:26" ht="14.25" customHeight="1">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spans="1:26" ht="14.25" customHeight="1">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spans="1:26" ht="14.25" customHeight="1">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spans="1:26" ht="14.25" customHeight="1">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spans="1:26" ht="14.25" customHeight="1">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spans="1:26" ht="14.25" customHeight="1">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spans="1:26" ht="14.25" customHeight="1">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spans="1:26" ht="14.25" customHeight="1">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spans="1:26" ht="14.25" customHeight="1">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spans="1:26" ht="14.25" customHeight="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spans="1:26" ht="14.25" customHeight="1">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spans="1:26" ht="14.25" customHeight="1">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spans="1:26" ht="14.25" customHeight="1">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spans="1:26" ht="14.25" customHeight="1">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spans="1:26" ht="14.25" customHeight="1">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spans="1:26" ht="14.25" customHeight="1">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spans="1:26" ht="14.25" customHeight="1">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spans="1:26" ht="14.25" customHeight="1">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spans="1:26" ht="14.25" customHeight="1">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spans="1:26" ht="14.25" customHeight="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spans="1:26" ht="14.25" customHeight="1">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spans="1:26" ht="14.25" customHeight="1">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spans="1:26" ht="14.25" customHeight="1">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spans="1:26" ht="14.25" customHeight="1">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spans="1:26" ht="14.25" customHeight="1">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spans="1:26" ht="14.25" customHeight="1">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spans="1:26" ht="14.25" customHeight="1">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spans="1:26" ht="14.25" customHeight="1">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spans="1:26" ht="14.25" customHeight="1">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spans="1:26" ht="14.25" customHeight="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spans="1:26" ht="14.25" customHeight="1">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spans="1:26" ht="14.25" customHeight="1">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spans="1:26" ht="14.25" customHeight="1">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spans="1:26" ht="14.25" customHeight="1">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spans="1:26" ht="14.25" customHeight="1">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spans="1:26" ht="14.25" customHeight="1">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spans="1:26" ht="14.25" customHeight="1">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spans="1:26" ht="14.25" customHeight="1">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spans="1:26" ht="14.25" customHeight="1">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spans="1:26" ht="14.25" customHeight="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spans="1:26" ht="14.25" customHeight="1">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spans="1:26" ht="14.25" customHeight="1">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spans="1:26" ht="14.25" customHeight="1">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spans="1:26" ht="14.25" customHeight="1">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spans="1:26" ht="14.25" customHeight="1">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spans="1:26" ht="14.25" customHeight="1">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spans="1:26" ht="14.25" customHeight="1">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spans="1:26" ht="14.25" customHeight="1">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spans="1:26" ht="14.25" customHeight="1">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spans="1:26" ht="14.25" customHeight="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spans="1:26" ht="14.25" customHeight="1">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spans="1:26" ht="14.25" customHeight="1">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spans="1:26" ht="14.25" customHeight="1">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spans="1:26" ht="14.25" customHeight="1">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spans="1:26" ht="14.25" customHeight="1">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spans="1:26" ht="14.25" customHeight="1">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spans="1:26" ht="14.25" customHeight="1">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spans="1:26" ht="14.25" customHeight="1">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spans="1:26" ht="14.25" customHeight="1">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spans="1:26" ht="14.25" customHeight="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spans="1:26" ht="14.25" customHeight="1">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spans="1:26" ht="14.25" customHeight="1">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spans="1:26" ht="14.25" customHeight="1">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spans="1:26" ht="14.25" customHeight="1">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spans="1:26" ht="14.25" customHeight="1">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spans="1:26" ht="14.25" customHeight="1">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spans="1:26" ht="14.25" customHeight="1">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spans="1:26" ht="14.25" customHeight="1">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spans="1:26" ht="14.25" customHeight="1">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spans="1:26" ht="14.25" customHeight="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spans="1:26" ht="14.25" customHeight="1">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spans="1:26" ht="14.25" customHeight="1">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spans="1:26" ht="14.25" customHeight="1">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spans="1:26" ht="14.25" customHeight="1">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spans="1:26" ht="14.25" customHeight="1">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spans="1:26" ht="14.25" customHeight="1">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spans="1:26" ht="14.25" customHeight="1">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spans="1:26" ht="14.25" customHeight="1">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spans="1:26" ht="14.25" customHeight="1">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spans="1:26" ht="14.25" customHeight="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spans="1:26" ht="14.25" customHeight="1">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spans="1:26" ht="14.25" customHeight="1">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spans="1:26" ht="14.25" customHeight="1">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spans="1:26" ht="14.25" customHeight="1">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spans="1:26" ht="14.25" customHeight="1">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spans="1:26" ht="14.25" customHeight="1">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spans="1:26" ht="14.25" customHeight="1">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spans="1:26" ht="14.25" customHeight="1">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spans="1:26" ht="14.25" customHeight="1">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spans="1:26" ht="14.25" customHeight="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spans="1:26" ht="14.25" customHeight="1">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spans="1:26" ht="14.25" customHeight="1">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spans="1:26" ht="14.25" customHeight="1">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spans="1:26" ht="14.25" customHeight="1">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spans="1:26" ht="14.25" customHeight="1">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spans="1:26" ht="14.25" customHeight="1">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spans="1:26" ht="14.25" customHeight="1">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spans="1:26" ht="14.25" customHeight="1">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spans="1:26" ht="14.25" customHeight="1">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spans="1:26" ht="14.25" customHeight="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spans="1:26" ht="14.25" customHeight="1">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spans="1:26" ht="14.25" customHeight="1">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spans="1:26" ht="14.25" customHeight="1">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spans="1:26" ht="14.25" customHeight="1">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spans="1:26" ht="14.25" customHeight="1">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spans="1:26" ht="14.25" customHeight="1">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spans="1:26" ht="14.25" customHeight="1">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spans="1:26" ht="14.25" customHeight="1">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spans="1:26" ht="14.25" customHeight="1">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spans="1:26" ht="14.25" customHeight="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spans="1:26" ht="14.25" customHeight="1">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spans="1:26" ht="14.25" customHeight="1">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spans="1:26" ht="14.25" customHeight="1">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spans="1:26" ht="14.25" customHeight="1">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spans="1:26" ht="14.25" customHeight="1">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spans="1:26" ht="14.25" customHeight="1">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spans="1:26" ht="14.25" customHeight="1">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spans="1:26" ht="14.25" customHeight="1">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spans="1:26" ht="14.25" customHeight="1">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spans="1:26" ht="14.25" customHeight="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spans="1:26" ht="14.25" customHeight="1">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spans="1:26" ht="14.25" customHeight="1">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spans="1:26" ht="14.25" customHeight="1">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spans="1:26" ht="14.25" customHeight="1">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spans="1:26" ht="14.25" customHeight="1">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spans="1:26" ht="14.25" customHeight="1">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spans="1:26" ht="14.25" customHeight="1">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spans="1:26" ht="14.25" customHeight="1">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spans="1:26" ht="14.25" customHeight="1">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spans="1:26" ht="14.25" customHeight="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spans="1:26" ht="14.25" customHeight="1">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spans="1:26" ht="14.25" customHeight="1">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spans="1:26" ht="14.25" customHeight="1">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spans="1:26" ht="14.25" customHeight="1">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spans="1:26" ht="14.25" customHeight="1">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spans="1:26" ht="14.25" customHeight="1">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spans="1:26" ht="14.25" customHeight="1">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spans="1:26" ht="14.25" customHeight="1">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spans="1:26" ht="14.25" customHeight="1">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spans="1:26" ht="14.25" customHeight="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spans="1:26" ht="14.25" customHeight="1">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spans="1:26" ht="14.25" customHeight="1">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spans="1:26" ht="14.25" customHeight="1">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spans="1:26" ht="14.25" customHeight="1">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spans="1:26" ht="14.25" customHeight="1">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spans="1:26" ht="14.25" customHeight="1">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spans="1:26" ht="14.25" customHeight="1">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spans="1:26" ht="14.25" customHeight="1">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spans="1:26" ht="14.25" customHeight="1">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spans="1:26" ht="14.25" customHeight="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spans="1:26" ht="14.25" customHeight="1">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spans="1:26" ht="14.25" customHeight="1">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spans="1:26" ht="14.25" customHeight="1">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spans="1:26" ht="14.25" customHeight="1">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spans="1:26" ht="14.25" customHeight="1">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spans="1:26" ht="14.25" customHeight="1">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spans="1:26" ht="14.25" customHeight="1">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spans="1:26" ht="14.25" customHeight="1">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spans="1:26" ht="14.25" customHeight="1">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spans="1:26" ht="14.25" customHeight="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spans="1:26" ht="14.25" customHeight="1">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spans="1:26" ht="14.25" customHeight="1">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spans="1:26" ht="14.25" customHeight="1">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spans="1:26" ht="14.25" customHeight="1">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spans="1:26" ht="14.25" customHeight="1">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spans="1:26" ht="14.25" customHeight="1">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spans="1:26" ht="14.25" customHeight="1">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spans="1:26" ht="14.25" customHeight="1">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spans="1:26" ht="14.25" customHeight="1">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spans="1:26" ht="14.25" customHeight="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spans="1:26" ht="14.25" customHeight="1">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spans="1:26" ht="14.25" customHeight="1">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spans="1:26" ht="14.25" customHeight="1">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spans="1:26" ht="14.25" customHeight="1">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spans="1:26" ht="14.25" customHeight="1">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spans="1:26" ht="14.25" customHeight="1">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spans="1:26" ht="14.25" customHeight="1">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spans="1:26" ht="14.25" customHeight="1">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spans="1:26" ht="14.25" customHeight="1">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spans="1:26" ht="14.25" customHeight="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spans="1:26" ht="14.25" customHeight="1">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spans="1:26" ht="14.25" customHeight="1">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spans="1:26" ht="14.25" customHeight="1">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spans="1:26" ht="14.25" customHeight="1">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spans="1:26" ht="14.25" customHeight="1">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spans="1:26" ht="14.25" customHeight="1">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spans="1:26" ht="14.25" customHeight="1">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spans="1:26" ht="14.25" customHeight="1">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spans="1:26" ht="14.25" customHeight="1">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sheetData>
  <pageMargins left="0.7" right="0.7" top="0.75" bottom="0.75" header="0" footer="0"/>
  <pageSetup orientation="landscape"/>
  <headerFooter>
    <oddFooter>&amp;L_x000D_#000000 Classified as Confidential</oddFooter>
  </headerFooter>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A673424E99D044B4A1FB44474552A9" ma:contentTypeVersion="11" ma:contentTypeDescription="Create a new document." ma:contentTypeScope="" ma:versionID="541cb6b9fee9288be1513af1acd9efd1">
  <xsd:schema xmlns:xsd="http://www.w3.org/2001/XMLSchema" xmlns:xs="http://www.w3.org/2001/XMLSchema" xmlns:p="http://schemas.microsoft.com/office/2006/metadata/properties" xmlns:ns2="d277ce56-8de3-43c1-b9ce-ff5033dad840" xmlns:ns3="0b8b2123-f09a-47bf-9044-f6e489c8d7a1" targetNamespace="http://schemas.microsoft.com/office/2006/metadata/properties" ma:root="true" ma:fieldsID="073d35413c2933ae4492be48b3c2f5c2" ns2:_="" ns3:_="">
    <xsd:import namespace="d277ce56-8de3-43c1-b9ce-ff5033dad840"/>
    <xsd:import namespace="0b8b2123-f09a-47bf-9044-f6e489c8d7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77ce56-8de3-43c1-b9ce-ff5033dad8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ce2594-6122-4e3a-901b-0eca72ea527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8b2123-f09a-47bf-9044-f6e489c8d7a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baeda32-f816-49b3-b408-e16626ce47b5}" ma:internalName="TaxCatchAll" ma:showField="CatchAllData" ma:web="0b8b2123-f09a-47bf-9044-f6e489c8d7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277ce56-8de3-43c1-b9ce-ff5033dad840">
      <Terms xmlns="http://schemas.microsoft.com/office/infopath/2007/PartnerControls"/>
    </lcf76f155ced4ddcb4097134ff3c332f>
    <TaxCatchAll xmlns="0b8b2123-f09a-47bf-9044-f6e489c8d7a1" xsi:nil="true"/>
  </documentManagement>
</p:properties>
</file>

<file path=customXml/itemProps1.xml><?xml version="1.0" encoding="utf-8"?>
<ds:datastoreItem xmlns:ds="http://schemas.openxmlformats.org/officeDocument/2006/customXml" ds:itemID="{C9DBA441-6F0F-416F-8651-6E0DBA5272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77ce56-8de3-43c1-b9ce-ff5033dad840"/>
    <ds:schemaRef ds:uri="0b8b2123-f09a-47bf-9044-f6e489c8d7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B4AFB9-13F4-4046-9C32-E4CF56EF9401}">
  <ds:schemaRefs>
    <ds:schemaRef ds:uri="http://schemas.microsoft.com/sharepoint/v3/contenttype/forms"/>
  </ds:schemaRefs>
</ds:datastoreItem>
</file>

<file path=customXml/itemProps3.xml><?xml version="1.0" encoding="utf-8"?>
<ds:datastoreItem xmlns:ds="http://schemas.openxmlformats.org/officeDocument/2006/customXml" ds:itemID="{2F7DC4E2-D01C-4A7D-8160-DB89B0BBA5D1}">
  <ds:schemaRefs>
    <ds:schemaRef ds:uri="http://schemas.microsoft.com/office/2006/metadata/properties"/>
    <ds:schemaRef ds:uri="http://schemas.microsoft.com/office/infopath/2007/PartnerControls"/>
    <ds:schemaRef ds:uri="d277ce56-8de3-43c1-b9ce-ff5033dad840"/>
    <ds:schemaRef ds:uri="0b8b2123-f09a-47bf-9044-f6e489c8d7a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Apr</vt:lpstr>
      <vt:lpstr>May</vt:lpstr>
      <vt:lpstr>Jun</vt:lpstr>
      <vt:lpstr>Jul</vt:lpstr>
      <vt:lpstr>Aug</vt:lpstr>
      <vt:lpstr>Sep</vt:lpstr>
      <vt:lpstr>Expense Claim</vt:lpstr>
      <vt:lpstr>Leave</vt:lpstr>
      <vt:lpstr>Key</vt:lpstr>
      <vt:lpstr>Time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Zanele Khumalo</dc:creator>
  <cp:keywords/>
  <dc:description/>
  <cp:lastModifiedBy>Neo Motaung</cp:lastModifiedBy>
  <cp:revision/>
  <dcterms:created xsi:type="dcterms:W3CDTF">2020-04-02T09:04:10Z</dcterms:created>
  <dcterms:modified xsi:type="dcterms:W3CDTF">2025-06-05T05:54:48Z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0x010100DEA673424E99D044B4A1FB44474552A9</vt:lpwstr>
  </property>
  <property fmtid="{D5CDD505-2E9C-101B-9397-08002B2CF9AE}" pid="3" name="MediaServiceImageTags">
    <vt:lpwstr/>
  </property>
</Properties>
</file>
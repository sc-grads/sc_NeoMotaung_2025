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Evashan/"/>
    </mc:Choice>
  </mc:AlternateContent>
  <xr:revisionPtr revIDLastSave="1" documentId="13_ncr:1_{464FFF98-9818-4BC8-A997-C912E145F4F9}" xr6:coauthVersionLast="47" xr6:coauthVersionMax="47" xr10:uidLastSave="{61A91AF1-5736-4741-AF8E-E9D07C1914AF}"/>
  <bookViews>
    <workbookView xWindow="-108" yWindow="-108" windowWidth="23256" windowHeight="12456" activeTab="1" xr2:uid="{1C8F8026-B005-4B08-94D3-371A77F74D8F}"/>
  </bookViews>
  <sheets>
    <sheet name="Apr" sheetId="10" r:id="rId1"/>
    <sheet name="May" sheetId="1" r:id="rId2"/>
    <sheet name="Jun" sheetId="3" r:id="rId3"/>
    <sheet name="Jul" sheetId="4" r:id="rId4"/>
    <sheet name="Aug" sheetId="5" r:id="rId5"/>
    <sheet name="Sep" sheetId="6" r:id="rId6"/>
    <sheet name="Expense Claim" sheetId="8" r:id="rId7"/>
    <sheet name="Leave" sheetId="9" r:id="rId8"/>
    <sheet name="Key" sheetId="2" r:id="rId9"/>
  </sheets>
  <definedNames>
    <definedName name="Time">May!$A$8:$J$59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8" i="1" l="1"/>
  <c r="H56" i="1"/>
  <c r="H54" i="1"/>
  <c r="H52" i="1"/>
  <c r="H50" i="1"/>
  <c r="H46" i="1"/>
  <c r="H44" i="1"/>
  <c r="H42" i="1"/>
  <c r="H40" i="1"/>
  <c r="H38" i="1"/>
  <c r="H34" i="1"/>
  <c r="H31" i="1"/>
  <c r="H29" i="1"/>
  <c r="H27" i="1"/>
  <c r="H17" i="1"/>
  <c r="H15" i="1"/>
  <c r="H23" i="1"/>
  <c r="H19" i="1"/>
  <c r="H21" i="1"/>
  <c r="H11" i="1"/>
  <c r="F63" i="10"/>
  <c r="F64" i="10" s="1"/>
  <c r="H57" i="10"/>
  <c r="H55" i="10"/>
  <c r="H50" i="10"/>
  <c r="H48" i="10"/>
  <c r="H46" i="10"/>
  <c r="H44" i="10"/>
  <c r="H38" i="10"/>
  <c r="H36" i="10"/>
  <c r="H34" i="10"/>
  <c r="H32" i="10"/>
  <c r="H28" i="10"/>
  <c r="H26" i="10"/>
  <c r="H24" i="10"/>
  <c r="H22" i="10"/>
  <c r="H20" i="10"/>
  <c r="H16" i="10"/>
  <c r="H14" i="10"/>
  <c r="H12" i="10"/>
  <c r="H13" i="10"/>
  <c r="H10" i="10"/>
  <c r="F44" i="6" l="1"/>
  <c r="F43" i="6"/>
  <c r="F45" i="4"/>
  <c r="F44" i="4"/>
  <c r="F44" i="3"/>
  <c r="F43" i="3"/>
  <c r="F64" i="1"/>
  <c r="H9" i="6"/>
  <c r="H32" i="6"/>
  <c r="F45" i="5"/>
  <c r="F44" i="5"/>
  <c r="H9" i="5"/>
  <c r="H37" i="5"/>
  <c r="H38" i="5"/>
  <c r="H39" i="5"/>
  <c r="H9" i="4"/>
  <c r="H10" i="1"/>
  <c r="H59" i="1"/>
  <c r="H39" i="4"/>
  <c r="H18" i="1"/>
  <c r="D14" i="9"/>
  <c r="F17" i="8"/>
  <c r="B6" i="8" s="1"/>
  <c r="H9" i="10" l="1"/>
  <c r="H56" i="10"/>
  <c r="H54" i="10"/>
  <c r="H53" i="10"/>
  <c r="H52" i="10"/>
  <c r="H51" i="10"/>
  <c r="H49" i="10"/>
  <c r="H47" i="10"/>
  <c r="H45" i="10"/>
  <c r="H43" i="10"/>
  <c r="H42" i="10"/>
  <c r="H41" i="10"/>
  <c r="H40" i="10"/>
  <c r="H39" i="10"/>
  <c r="H37" i="10"/>
  <c r="H35" i="10"/>
  <c r="H33" i="10"/>
  <c r="H31" i="10"/>
  <c r="H30" i="10"/>
  <c r="H29" i="10"/>
  <c r="H27" i="10"/>
  <c r="H25" i="10"/>
  <c r="H23" i="10"/>
  <c r="H21" i="10"/>
  <c r="H19" i="10"/>
  <c r="H18" i="10"/>
  <c r="H17" i="10"/>
  <c r="H15" i="10"/>
  <c r="H11" i="10"/>
  <c r="H31" i="3"/>
  <c r="F62" i="10" l="1"/>
  <c r="H12" i="4"/>
  <c r="H10" i="4"/>
  <c r="H11" i="4"/>
  <c r="H32" i="3"/>
  <c r="H12" i="1"/>
  <c r="H10" i="5"/>
  <c r="H9" i="3"/>
  <c r="B6" i="10" l="1"/>
  <c r="H9" i="1"/>
  <c r="H17" i="4"/>
  <c r="H18" i="4"/>
  <c r="H16" i="4"/>
  <c r="H15" i="4"/>
  <c r="H14" i="4"/>
  <c r="H13" i="4"/>
  <c r="H38" i="3"/>
  <c r="H37" i="3"/>
  <c r="H36" i="3"/>
  <c r="H13" i="6" l="1"/>
  <c r="H14" i="6"/>
  <c r="H15" i="6"/>
  <c r="H16" i="6"/>
  <c r="H17" i="6"/>
  <c r="H18" i="6"/>
  <c r="H19" i="6"/>
  <c r="H20" i="6"/>
  <c r="H21" i="6"/>
  <c r="H22" i="6"/>
  <c r="H23" i="6"/>
  <c r="H24" i="6"/>
  <c r="H25" i="6"/>
  <c r="H26" i="6"/>
  <c r="H27" i="6"/>
  <c r="H28" i="6"/>
  <c r="H29" i="6"/>
  <c r="H30" i="6"/>
  <c r="H31" i="6"/>
  <c r="H33" i="6"/>
  <c r="H34" i="6"/>
  <c r="H35" i="6"/>
  <c r="H36" i="6"/>
  <c r="H37" i="6"/>
  <c r="H38" i="6"/>
  <c r="H11" i="5"/>
  <c r="H12" i="5"/>
  <c r="H13" i="5"/>
  <c r="H14" i="5"/>
  <c r="H15" i="5"/>
  <c r="H16" i="5"/>
  <c r="H17" i="5"/>
  <c r="H18" i="5"/>
  <c r="H19" i="5"/>
  <c r="H20" i="5"/>
  <c r="H21" i="5"/>
  <c r="H22" i="5"/>
  <c r="H23" i="5"/>
  <c r="H24" i="5"/>
  <c r="H25" i="5"/>
  <c r="H26" i="5"/>
  <c r="H27" i="5"/>
  <c r="H28" i="5"/>
  <c r="H29" i="5"/>
  <c r="H30" i="5"/>
  <c r="H31" i="5"/>
  <c r="H32" i="5"/>
  <c r="H33" i="5"/>
  <c r="H34" i="5"/>
  <c r="H35" i="5"/>
  <c r="H36" i="5"/>
  <c r="H19" i="4"/>
  <c r="H20" i="4"/>
  <c r="H21" i="4"/>
  <c r="H22" i="4"/>
  <c r="H23" i="4"/>
  <c r="H24" i="4"/>
  <c r="H25" i="4"/>
  <c r="H26" i="4"/>
  <c r="H27" i="4"/>
  <c r="H28" i="4"/>
  <c r="H29" i="4"/>
  <c r="H30" i="4"/>
  <c r="H31" i="4"/>
  <c r="H32" i="4"/>
  <c r="H33" i="4"/>
  <c r="H34" i="4"/>
  <c r="H35" i="4"/>
  <c r="H36" i="4"/>
  <c r="H37" i="4"/>
  <c r="H38" i="4"/>
  <c r="H14" i="3"/>
  <c r="H15" i="3"/>
  <c r="H16" i="3"/>
  <c r="H17" i="3"/>
  <c r="H18" i="3"/>
  <c r="H19" i="3"/>
  <c r="H20" i="3"/>
  <c r="H21" i="3"/>
  <c r="H22" i="3"/>
  <c r="H23" i="3"/>
  <c r="H24" i="3"/>
  <c r="H25" i="3"/>
  <c r="H26" i="3"/>
  <c r="H27" i="3"/>
  <c r="H28" i="3"/>
  <c r="H29" i="3"/>
  <c r="H30" i="3"/>
  <c r="H33" i="3"/>
  <c r="H34" i="3"/>
  <c r="H35" i="3"/>
  <c r="H13" i="1"/>
  <c r="H14" i="1"/>
  <c r="H16" i="1"/>
  <c r="H20" i="1"/>
  <c r="H22" i="1"/>
  <c r="H24" i="1"/>
  <c r="H25" i="1"/>
  <c r="H26" i="1"/>
  <c r="H28" i="1"/>
  <c r="H30" i="1"/>
  <c r="H32" i="1"/>
  <c r="H33" i="1"/>
  <c r="H35" i="1"/>
  <c r="H36" i="1"/>
  <c r="H37" i="1"/>
  <c r="H39" i="1"/>
  <c r="H41" i="1"/>
  <c r="H43" i="1"/>
  <c r="H45" i="1"/>
  <c r="H47" i="1"/>
  <c r="H48" i="1"/>
  <c r="H49" i="1"/>
  <c r="H51" i="1"/>
  <c r="H53" i="1"/>
  <c r="H55" i="1"/>
  <c r="H57" i="1"/>
  <c r="F65" i="1" l="1"/>
  <c r="H10" i="6"/>
  <c r="H11" i="6"/>
  <c r="H12" i="6"/>
  <c r="H10" i="3"/>
  <c r="H11" i="3"/>
  <c r="H12" i="3"/>
  <c r="H13" i="3"/>
  <c r="F61" i="1"/>
  <c r="F46" i="4" l="1"/>
  <c r="F46" i="5"/>
  <c r="F45" i="6"/>
  <c r="B6" i="6"/>
  <c r="B6" i="5"/>
  <c r="B6" i="4"/>
  <c r="F45" i="3"/>
  <c r="B6" i="3"/>
  <c r="F66" i="1"/>
  <c r="B6" i="1"/>
</calcChain>
</file>

<file path=xl/sharedStrings.xml><?xml version="1.0" encoding="utf-8"?>
<sst xmlns="http://schemas.openxmlformats.org/spreadsheetml/2006/main" count="992" uniqueCount="296">
  <si>
    <t>Date</t>
  </si>
  <si>
    <t>D of Week</t>
  </si>
  <si>
    <t>Consultant</t>
  </si>
  <si>
    <t>Client</t>
  </si>
  <si>
    <t>Client Project Name</t>
  </si>
  <si>
    <t>Description</t>
  </si>
  <si>
    <t>Billable or Non Billable</t>
  </si>
  <si>
    <t>Comments</t>
  </si>
  <si>
    <t>Total Hours</t>
  </si>
  <si>
    <t>Start Time</t>
  </si>
  <si>
    <t>End Time</t>
  </si>
  <si>
    <t>Friday</t>
  </si>
  <si>
    <t>Bhavesh</t>
  </si>
  <si>
    <t>Billable</t>
  </si>
  <si>
    <t>Saturday</t>
  </si>
  <si>
    <t>Non-Billable</t>
  </si>
  <si>
    <t>Sunday</t>
  </si>
  <si>
    <t>Monday</t>
  </si>
  <si>
    <t>Tuesday</t>
  </si>
  <si>
    <t>Wednesday</t>
  </si>
  <si>
    <t>Thursday</t>
  </si>
  <si>
    <t>Forcasted Hours</t>
  </si>
  <si>
    <t>Forcasted Work Days this month</t>
  </si>
  <si>
    <t>Line Manager :</t>
  </si>
  <si>
    <t>Billable Hours</t>
  </si>
  <si>
    <t>Contractor:</t>
  </si>
  <si>
    <t>Non Billable Hours</t>
  </si>
  <si>
    <t>Total of All Hours</t>
  </si>
  <si>
    <t>Plus: Hours worked, not claimed</t>
  </si>
  <si>
    <t>Resource</t>
  </si>
  <si>
    <t>Recording Cvs on Workbook Sheet</t>
  </si>
  <si>
    <t>.NET code</t>
  </si>
  <si>
    <t>Placing Cvs in Templates</t>
  </si>
  <si>
    <t>Admin</t>
  </si>
  <si>
    <t>Charles</t>
  </si>
  <si>
    <t>Screening</t>
  </si>
  <si>
    <t>Analysis</t>
  </si>
  <si>
    <t>Ravi</t>
  </si>
  <si>
    <t>Headhunting</t>
  </si>
  <si>
    <t>Architecture</t>
  </si>
  <si>
    <t>Interviews</t>
  </si>
  <si>
    <t>Training</t>
  </si>
  <si>
    <t>Joseph</t>
  </si>
  <si>
    <t>Fixed Assets</t>
  </si>
  <si>
    <t>Configuration</t>
  </si>
  <si>
    <t>Recruitment Work</t>
  </si>
  <si>
    <t>Cubes</t>
  </si>
  <si>
    <t>Avinash</t>
  </si>
  <si>
    <t>Team Meeting</t>
  </si>
  <si>
    <t>Database</t>
  </si>
  <si>
    <t>Recruitment team meeting</t>
  </si>
  <si>
    <t>Demo</t>
  </si>
  <si>
    <t>Deployment</t>
  </si>
  <si>
    <t>Design</t>
  </si>
  <si>
    <t>Documentation</t>
  </si>
  <si>
    <t>Sanele</t>
  </si>
  <si>
    <t>Events</t>
  </si>
  <si>
    <t>Discovery</t>
  </si>
  <si>
    <t>ETL</t>
  </si>
  <si>
    <t>FrontEnd</t>
  </si>
  <si>
    <t>Installing</t>
  </si>
  <si>
    <t>Edmond</t>
  </si>
  <si>
    <t>Meeting</t>
  </si>
  <si>
    <t>Lunch</t>
  </si>
  <si>
    <t>Other</t>
  </si>
  <si>
    <t>Kavish</t>
  </si>
  <si>
    <t>Presenting</t>
  </si>
  <si>
    <t>Shaila</t>
  </si>
  <si>
    <t>Project Management</t>
  </si>
  <si>
    <t>Research</t>
  </si>
  <si>
    <t>Sales call</t>
  </si>
  <si>
    <t>SharePoint</t>
  </si>
  <si>
    <t>Albert</t>
  </si>
  <si>
    <t>Testing</t>
  </si>
  <si>
    <t>Travel</t>
  </si>
  <si>
    <t>Eugene</t>
  </si>
  <si>
    <t>Troubleshooting</t>
  </si>
  <si>
    <t>Waiting on client</t>
  </si>
  <si>
    <t>Aubrey</t>
  </si>
  <si>
    <t>Michelin</t>
  </si>
  <si>
    <t>Website content</t>
  </si>
  <si>
    <t>Website and collateral</t>
  </si>
  <si>
    <t>Annual Leave</t>
  </si>
  <si>
    <t>Angela</t>
  </si>
  <si>
    <t>OK Furnitures</t>
  </si>
  <si>
    <t>Sick leave</t>
  </si>
  <si>
    <t>Study Leave</t>
  </si>
  <si>
    <t>Siemon</t>
  </si>
  <si>
    <t>Family Responsibility Leave</t>
  </si>
  <si>
    <t>Birthday leave</t>
  </si>
  <si>
    <t>Public Holiday</t>
  </si>
  <si>
    <t>Sachar Mobile</t>
  </si>
  <si>
    <t>Sick Leave - half day</t>
  </si>
  <si>
    <t>Zola</t>
  </si>
  <si>
    <t>Total Billable Hours</t>
  </si>
  <si>
    <t>Type</t>
  </si>
  <si>
    <t>ZAR COST</t>
  </si>
  <si>
    <t xml:space="preserve">TOTAL </t>
  </si>
  <si>
    <t>Type of Leave</t>
  </si>
  <si>
    <t>Start Date</t>
  </si>
  <si>
    <t>End Date</t>
  </si>
  <si>
    <t xml:space="preserve">Number of days </t>
  </si>
  <si>
    <t>Approval Obtained</t>
  </si>
  <si>
    <t>Sick Note</t>
  </si>
  <si>
    <t>Address and Telephone Number during Annual Leave</t>
  </si>
  <si>
    <t>Employee Signature</t>
  </si>
  <si>
    <t>Client Signature</t>
  </si>
  <si>
    <t>Sarah</t>
  </si>
  <si>
    <t>Example</t>
  </si>
  <si>
    <t>Detailed Description of task(s) done</t>
  </si>
  <si>
    <t>Engelina</t>
  </si>
  <si>
    <t>Hamerl</t>
  </si>
  <si>
    <t>SBV</t>
  </si>
  <si>
    <t>Shaylin</t>
  </si>
  <si>
    <t>Amanda</t>
  </si>
  <si>
    <t>Ian</t>
  </si>
  <si>
    <t>Work</t>
  </si>
  <si>
    <t>ADVTech</t>
  </si>
  <si>
    <t>Base 3</t>
  </si>
  <si>
    <t>Dentons</t>
  </si>
  <si>
    <t>Discovery People</t>
  </si>
  <si>
    <t>Fayruz</t>
  </si>
  <si>
    <t>Yes</t>
  </si>
  <si>
    <t>No</t>
  </si>
  <si>
    <t>Lehlohonolo</t>
  </si>
  <si>
    <t>Sahur</t>
  </si>
  <si>
    <t>Vincent</t>
  </si>
  <si>
    <t>Kanelo</t>
  </si>
  <si>
    <t>Phone</t>
  </si>
  <si>
    <t>WiFi</t>
  </si>
  <si>
    <t>Internal Sambe</t>
  </si>
  <si>
    <t>AFA Sasfin</t>
  </si>
  <si>
    <t>Artist Proof Studio</t>
  </si>
  <si>
    <t>Assimil8 - AGA</t>
  </si>
  <si>
    <t>WiFi / Internet / Data</t>
  </si>
  <si>
    <t>C. Steinweg</t>
  </si>
  <si>
    <t>Conekt AGSA SharePoint</t>
  </si>
  <si>
    <t>Bihaag</t>
  </si>
  <si>
    <t>Conekt – Meridian</t>
  </si>
  <si>
    <t>Boaz</t>
  </si>
  <si>
    <t>Conekt – Altron - AGSA</t>
  </si>
  <si>
    <t>Conekt – Clientele</t>
  </si>
  <si>
    <t>Clement</t>
  </si>
  <si>
    <t>Conekt – Winning Business</t>
  </si>
  <si>
    <t xml:space="preserve">David </t>
  </si>
  <si>
    <t>Conekt – Internal Meeting</t>
  </si>
  <si>
    <t>Diederik</t>
  </si>
  <si>
    <t>Diptendubala</t>
  </si>
  <si>
    <t>Discovery Information Governance and Security</t>
  </si>
  <si>
    <t>Elijah</t>
  </si>
  <si>
    <t>Discovery Bank</t>
  </si>
  <si>
    <t>Discovery CSI</t>
  </si>
  <si>
    <t>Discovery Health</t>
  </si>
  <si>
    <t xml:space="preserve">Discovery Skills </t>
  </si>
  <si>
    <t>Discovery Vitality</t>
  </si>
  <si>
    <t>Gyro</t>
  </si>
  <si>
    <t>Healthforce</t>
  </si>
  <si>
    <t>Juan</t>
  </si>
  <si>
    <t>KFC Digistics</t>
  </si>
  <si>
    <t>Medi-Charge</t>
  </si>
  <si>
    <t>MICA Build</t>
  </si>
  <si>
    <t>Lazarus</t>
  </si>
  <si>
    <t>Mistro Foods</t>
  </si>
  <si>
    <t>Olympic Paints</t>
  </si>
  <si>
    <t xml:space="preserve">Ndivhudzannyi </t>
  </si>
  <si>
    <t>RMB CM Data Warehouse support</t>
  </si>
  <si>
    <t>RMB CORE NRTI</t>
  </si>
  <si>
    <t>Pranav</t>
  </si>
  <si>
    <t>RMB Liesha</t>
  </si>
  <si>
    <t>RMB Tumelo</t>
  </si>
  <si>
    <t>Rivashan</t>
  </si>
  <si>
    <t>Sibanya</t>
  </si>
  <si>
    <t>Transport Holdings</t>
  </si>
  <si>
    <t>Tatenda</t>
  </si>
  <si>
    <t>Timothy</t>
  </si>
  <si>
    <t>Tutu</t>
  </si>
  <si>
    <t>Yazeed</t>
  </si>
  <si>
    <t xml:space="preserve">Yugeshin </t>
  </si>
  <si>
    <t>Nagendra</t>
  </si>
  <si>
    <t>Total Claim</t>
  </si>
  <si>
    <t>Details</t>
  </si>
  <si>
    <t>Expense Description</t>
  </si>
  <si>
    <t>Vodacom (Example line)</t>
  </si>
  <si>
    <t xml:space="preserve">Do not add the R symbol when capturing the amount. Use the comma not the full stop. </t>
  </si>
  <si>
    <t>Month</t>
  </si>
  <si>
    <t>MTN (Example line)</t>
  </si>
  <si>
    <t>Afrihost (Example line)</t>
  </si>
  <si>
    <t>Please select applicable Leave and state number of days</t>
  </si>
  <si>
    <t>Date From</t>
  </si>
  <si>
    <t>Date To</t>
  </si>
  <si>
    <t>Tyson</t>
  </si>
  <si>
    <t>Good Friday</t>
  </si>
  <si>
    <t>Family Day</t>
  </si>
  <si>
    <t>Freedom Day - OBS</t>
  </si>
  <si>
    <t xml:space="preserve">Freedom Day </t>
  </si>
  <si>
    <t>Worker's Day</t>
  </si>
  <si>
    <t>Youth Day</t>
  </si>
  <si>
    <t>National Women's Day</t>
  </si>
  <si>
    <t>Heritage Day</t>
  </si>
  <si>
    <t>Brian</t>
  </si>
  <si>
    <t>Jubhele</t>
  </si>
  <si>
    <t>Karusha</t>
  </si>
  <si>
    <t>Elize</t>
  </si>
  <si>
    <t>Evashan</t>
  </si>
  <si>
    <t>Itumeleng</t>
  </si>
  <si>
    <t>Iviwe</t>
  </si>
  <si>
    <t>Karabo</t>
  </si>
  <si>
    <t>Keown</t>
  </si>
  <si>
    <t>Kiaan</t>
  </si>
  <si>
    <t>Muzuvukile</t>
  </si>
  <si>
    <t>Nathalia</t>
  </si>
  <si>
    <t>Neo</t>
  </si>
  <si>
    <t>Ongeziwe</t>
  </si>
  <si>
    <t xml:space="preserve">Siphenathi </t>
  </si>
  <si>
    <t>Siyakhanya</t>
  </si>
  <si>
    <t>Thabang</t>
  </si>
  <si>
    <t xml:space="preserve">Andile </t>
  </si>
  <si>
    <t xml:space="preserve">Lucky </t>
  </si>
  <si>
    <t xml:space="preserve">Mamello </t>
  </si>
  <si>
    <t xml:space="preserve">Paballo </t>
  </si>
  <si>
    <t xml:space="preserve">Pascal  </t>
  </si>
  <si>
    <t>Tendo</t>
  </si>
  <si>
    <t>Ernest</t>
  </si>
  <si>
    <t>Graduate Program</t>
  </si>
  <si>
    <t>Attended our daily stand up with Clement where we discussed our blockers, then attended our progress report meeting at 11am and discussed where we were in the course about Linux</t>
  </si>
  <si>
    <t>Continued with the Linux course , then attended our daily 4pm meeting with Bongani where we discussed the soft skills course. We were also told to buy the Atomic Habits book</t>
  </si>
  <si>
    <t xml:space="preserve">Attended our daily stand up with Clement where we discussed our blockers, then attended our progress report meeting at 11am and discussed where we were in the Linux and soft skills course. </t>
  </si>
  <si>
    <t>Continued with the Microsoft SQL Server Reporting services , then attended our daily 4pm meeting with Bongani and last year's graduates where they discussed their experiences.</t>
  </si>
  <si>
    <t>Attended our daily stand up with Clement where we discussed our blockers, then attended our progress report meeting at 11am and discussed where we were in the Linux and soft skills course. We were also given task to improve our SSRS project and edit out SQL Server Project.</t>
  </si>
  <si>
    <t>Continued with the SSRS and SQL Server Project(GitHub side) , then attended our daily 4pm meeting with Bongani where we discussed the Soft skills course</t>
  </si>
  <si>
    <t>Continued with the SSRS and SQL Server Project(GitHub side) , then attended our daily 4pm meeting with Bongani where we demonstrated our improved version of the SSRS Project</t>
  </si>
  <si>
    <t xml:space="preserve">Attended our daily stand up with Clement where we discussed our blockers, then attended our progress report meeting at 11am and discussed Microsoft tracks. </t>
  </si>
  <si>
    <t xml:space="preserve">Attended our daily stand up with Clement where we discussed our blockers, then attended our progress report meeting at 11am and showed our recordings for the GitHub Automation Project. </t>
  </si>
  <si>
    <t>Started with the Build Solutions with Power Apps, Power Automate &amp; SharePoint course , then attended our daily 4pm meeting with Bongani where we did a introduction for the new grads</t>
  </si>
  <si>
    <t>Attended our daily stand up with Clement where we discussed our blockers, then attended a meeting at 9:30am with Shaila and Angela to discuss the data life cycle.</t>
  </si>
  <si>
    <t>Continued with the Power Automate course and then attended our daily 4pm meeting with Bongani where we discussed the soft skills course and the project that Shaila gave us about the Data Lifecycle</t>
  </si>
  <si>
    <t xml:space="preserve">Attended our daily stand up with Clement where we discussed our blockers, then attended our progress report meeting at 11am and shared our progress on the soft skills course and power automate course </t>
  </si>
  <si>
    <t>Continued with the Power Automate course and then attended our daily 4pm meeting with Bongani where we discussed the Power Automate course, then had a AP meeting with Bongani to discuss how the partnership is going</t>
  </si>
  <si>
    <t xml:space="preserve">Attended our daily stand up with Clement(Bongani was there to) where we discussed our blockers, then attended our progress report meeting at 11am and shared our progress on the power automate course </t>
  </si>
  <si>
    <t>Continued with the Power Automate course and then attended our daily 4pm meeting with Bongani where we discussed the Atomic Habits books</t>
  </si>
  <si>
    <t>Attended our daily stand up with Clement where we discussed our blockers, then continued with the Power Automate course</t>
  </si>
  <si>
    <t xml:space="preserve"> Attended our progress report meeting at 1pm and shared our progress on the power automate course. Continued with the Power Automate course and then attended our daily 4pm meeting with Bongani where we discussed the course</t>
  </si>
  <si>
    <t>Continued with the Power Automate course and then attended our daily 4pm meeting with Bongani where we discussed the Power Automate course</t>
  </si>
  <si>
    <t xml:space="preserve">Attended our daily stand up with Clement where we discussed our blockers, then attended our progress report meeting at 11am and showed our recordings for the GitHub Automation Project, which was the second 5 recording. </t>
  </si>
  <si>
    <t>Attended another progress report meeting at 13:15pm and showed our progress  on the Power Automate and Soft Skills course, then attended our daily 4pm meeting with Bongani where we discussed the soft skills course and how we were managing the Power Automate course</t>
  </si>
  <si>
    <t>Attended our daily stand up with Clement  where we discussed our blockers, then attendee a meeting  at 11am  with Bank SETA to do a identity validation and evaluation</t>
  </si>
  <si>
    <t>Attended our daily stand up with Clement  where we discussed our blockers, then attended a meeting  at 10:30am  with Shaila and Angela to discuss the Application and Development Lifecycle</t>
  </si>
  <si>
    <t>Attended our daily stand up with Clement  where we discussed our blockers, then our N.I.N.E.S group practised  our presentation of the data management lifecycle to Clement at 9:15am</t>
  </si>
  <si>
    <t>Attended our daily stand up with Clement  where we discussed our blockers, then attended our progress report meeting with Clement at 11am</t>
  </si>
  <si>
    <t>Attended our daily stand up with Clement  where we discussed our blockers and he also mentioned the new course we should start on Udemy, then attended our presentation meeting at 10:30am where we presented to Shaila and Angela on the Data management lifecycle</t>
  </si>
  <si>
    <t>Attended our progress report meeting with Clement , we were told to continue with the work we had. Continued with our Power Apps project then attended our daily 4pm meeting with Bongani and he answered any questions we had and told us to continue with our project</t>
  </si>
  <si>
    <t xml:space="preserve"> Attended our progress report meeting at 1pm and shared our progress on the power automate course. Continued with the Power Automate Course, then attended our daily 4pm meeting with Clement were we had a general informal discussion</t>
  </si>
  <si>
    <t>Continued on the Power App project , then attended our daily 4pm meeting with Bongani were we discussed the power automate course</t>
  </si>
  <si>
    <t>Continued on the Power App project , then attended our daily 4pm meeting with Bongani were we presented our power app project</t>
  </si>
  <si>
    <t>Attended our daily stand up with Clement  where we discussed our blockers, then attended our progress report meeting with Clement at 11am where we showed our progress on the ITIL course</t>
  </si>
  <si>
    <t>Continued with the ITIL course and book , then attended our daily 4pm meeting with Bongani were we had a general discussion</t>
  </si>
  <si>
    <t>Attended our daily stand up with Clement  where we discussed our blockers, then attended our progress report meeting with Clement at 11am where we showed our progress on the ITIL 4 book.</t>
  </si>
  <si>
    <t>Continued with the ITIL book , then attended our daily 4pm meeting with Bongani were we discussed the content in the ITIl 4 course.</t>
  </si>
  <si>
    <t>Attended our daily stand up with Clement  where we discussed our blockers, Continued with our power apps project and data lifecycle presentation</t>
  </si>
  <si>
    <t>Continued with our power apps project and data lifecycle presentation, then attended our daily 4pm meeting with Bongani where we discussed the importance of balancing work and personal life, and discussed why and how the 2 grads at discovery were able to be successful</t>
  </si>
  <si>
    <t>Attended our daily stand up with Clement where we discussed our blockers, then continued with the Power apps project</t>
  </si>
  <si>
    <t>Continued with our power apps project , then attended our daily 4pm meeting with Bongani where we had a general discussion</t>
  </si>
  <si>
    <t>15/05/2025</t>
  </si>
  <si>
    <t>670 Annet Drive, Reservoir Hills - 0833398972</t>
  </si>
  <si>
    <t>05/05/2025</t>
  </si>
  <si>
    <t>E.Govender</t>
  </si>
  <si>
    <t>Attended our daily stand up with Clement where we discussed our blockers, then continued with the Power apps project and Python course. From 10:30 to 11 we attended a meeting with Shaila and Angela where  Business Intelligence vs Advanced Analytics was discussed.</t>
  </si>
  <si>
    <t>Attended our daily stand up with Clement where we discussed our blockers, then continued with the Power apps project and Python course.</t>
  </si>
  <si>
    <t>Attended our daily stand up with Clement where we discussed our blockers and we were given a new course to do on Udemy , Python for beginners. Continued with the project and the Python course</t>
  </si>
  <si>
    <t>Attended our daily stand up with Clement where we discussed our blockers . Continued with the project and the Python course</t>
  </si>
  <si>
    <t>Continued with the project and the Python course and then attended our daily 4pm meeting where we discussed  the ITIL course</t>
  </si>
  <si>
    <t>Continued with our power apps project and python course , then attended our daily 4pm meeting with Bongani where we had a general discussion</t>
  </si>
  <si>
    <t>Attended our daily stand up with Clement where we discussed our blockers and also received the new course we meant to do for the week, then continued with the Power apps project and the Azure fundamentals course</t>
  </si>
  <si>
    <t>Continued with our power apps project and Azure course , then attended our daily 4pm meeting with Bongani where the N.I.N.E.S demos their project</t>
  </si>
  <si>
    <t>Attended our daily stand up with Clement where we discussed our blockers, at 11am I presented my power apps project to Shaila and Angela.</t>
  </si>
  <si>
    <t>Continued with the Azure course , then attended our daily 4pm meeting with Bongani where discussed the Azure course</t>
  </si>
  <si>
    <t>Leave</t>
  </si>
  <si>
    <t>Attended our daily stand up with Clement where we discussed our blockers, and we were told to start with Udemy course on T-SQL</t>
  </si>
  <si>
    <t>Continued with the Azure course and learning path  , then attended our daily 4pm meeting with Bongani where we had a general discussion</t>
  </si>
  <si>
    <t>Continued with T-SQL course , then attended our daily 4pm meeting with Bongani where we discuss the content in the Azure fundamentals course and learning path</t>
  </si>
  <si>
    <t>Continued with T-SQL course , then attended our daily 4pm meeting with Bongani where we discuss the content in the Azure learning path</t>
  </si>
  <si>
    <t>Attended our daily stand up with Clement where we discussed our blockers, then attended our 11am progress report meeting to show where we are in the T-SQL course</t>
  </si>
  <si>
    <t>Attended our daily stand up with Clement where we discussed our blockers, then continued with the T-SQL course</t>
  </si>
  <si>
    <t>Continued with the project and the Python course and then attended our daily 4pm meeting where we discussed how and when we are going to present our Power App project to Angela, Shaila and Bhavesh</t>
  </si>
  <si>
    <t>Attended our daily stand up with Clement where we discussed our blockers. Then attended a meeting at 10:30 to 11:30 with Angela and Shaila where we presented the data management lifecycle again.</t>
  </si>
  <si>
    <t>Continued with our power apps project and python course , then attended our daily 4pm meeting with Bongani where we demonstrated our power app project</t>
  </si>
  <si>
    <t>Attended our daily stand up with Clement where we discussed our blockers, then attended our progress report at 11am</t>
  </si>
  <si>
    <t>Attended our daily stand up with Clement where we discussed our blockers, then continued with the Azure course and the learning path</t>
  </si>
  <si>
    <t>Continued with T-SQL course , then attended our daily 4pm meeting with Bongani where we had a general discussion</t>
  </si>
  <si>
    <t>Attended our daily stand up with Clement where we discussed our blockers, then continued with the SSIS Introduction course</t>
  </si>
  <si>
    <t>Continued with SSIS Introduction course, then attended our daily 4pm meeting with Bongani where we discussed the T-SQL course</t>
  </si>
  <si>
    <t>Attended our daily stand up with Clement where we discussed our blockers, then started the Master SSIS Part 1 course</t>
  </si>
  <si>
    <t>Continued with Master SSIS Part 1 course, then attended our daily 4pm meeting with Bongani where we discussed the T-SQL course</t>
  </si>
  <si>
    <t>Attended our daily stand up with Clement where we discussed our blockers, then continued the Master SSIS Part 1 course, then attended our 11am progress report meeting where we showed our progress in in course were doing</t>
  </si>
  <si>
    <t>Completed with Master SSIS Part 1 course, then attended our daily 4pm meeting with Bongani where we discussed the Microsoft Build Keynote</t>
  </si>
  <si>
    <t>Forecasted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</si>
</sst>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indexed="64"/>
      </left>
      <right style="thin">
        <color indexed="64"/>
      </right>
      <top style="thin">
        <color theme="4" tint="0.39997558519241921"/>
      </top>
      <bottom style="thin">
        <color indexed="64"/>
      </bottom>
      <diagonal/>
    </border>
  </borders>
  <cellStyleXfs count="1">
    <xf numFmtId="0" fontId="0" fillId="0" borderId="0"/>
  </cellStyleXfs>
  <cellXfs count="151">
    <xf numFmtId="0" fontId="0" fillId="0" borderId="0" xfId="0"/>
    <xf numFmtId="0" fontId="2" fillId="0" borderId="2" xfId="0" applyFont="1" applyBorder="1"/>
    <xf numFmtId="0" fontId="3" fillId="0" borderId="0" xfId="0" applyFont="1"/>
    <xf numFmtId="0" fontId="2" fillId="0" borderId="1" xfId="0" applyFont="1" applyBorder="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7"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7" xfId="0" applyNumberFormat="1" applyFont="1" applyBorder="1" applyAlignment="1">
      <alignment horizontal="right" wrapText="1"/>
    </xf>
    <xf numFmtId="49" fontId="8" fillId="0" borderId="8" xfId="0" applyNumberFormat="1" applyFont="1" applyBorder="1" applyAlignment="1">
      <alignment vertical="top"/>
    </xf>
    <xf numFmtId="0" fontId="1" fillId="0" borderId="9" xfId="0" applyFont="1" applyBorder="1"/>
    <xf numFmtId="164" fontId="3" fillId="0" borderId="8" xfId="0" applyNumberFormat="1" applyFont="1" applyBorder="1" applyAlignment="1">
      <alignment horizontal="right" wrapText="1"/>
    </xf>
    <xf numFmtId="0" fontId="1" fillId="0" borderId="10" xfId="0" applyFont="1" applyBorder="1"/>
    <xf numFmtId="0" fontId="9" fillId="0" borderId="11" xfId="0" applyFont="1" applyBorder="1" applyAlignment="1">
      <alignment horizontal="left"/>
    </xf>
    <xf numFmtId="0" fontId="3" fillId="0" borderId="12" xfId="0" applyFont="1" applyBorder="1" applyAlignment="1">
      <alignment wrapText="1"/>
    </xf>
    <xf numFmtId="14" fontId="4" fillId="0" borderId="6" xfId="0" applyNumberFormat="1" applyFont="1" applyBorder="1"/>
    <xf numFmtId="0" fontId="4" fillId="0" borderId="0" xfId="0" applyFont="1"/>
    <xf numFmtId="0" fontId="13" fillId="4" borderId="13" xfId="0" applyFont="1" applyFill="1" applyBorder="1"/>
    <xf numFmtId="0" fontId="13" fillId="4" borderId="14" xfId="0" applyFont="1" applyFill="1" applyBorder="1"/>
    <xf numFmtId="0" fontId="13" fillId="4" borderId="14"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2"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4" xfId="0" applyFont="1" applyFill="1" applyBorder="1" applyAlignment="1">
      <alignment wrapText="1"/>
    </xf>
    <xf numFmtId="0" fontId="13" fillId="4" borderId="15" xfId="0" applyFont="1" applyFill="1" applyBorder="1" applyAlignment="1">
      <alignment horizontal="center" wrapText="1"/>
    </xf>
    <xf numFmtId="164" fontId="3" fillId="0" borderId="19"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6" xfId="0" applyFont="1" applyFill="1" applyBorder="1"/>
    <xf numFmtId="0" fontId="11" fillId="0" borderId="16" xfId="0" applyFont="1" applyBorder="1"/>
    <xf numFmtId="0" fontId="15" fillId="9" borderId="17" xfId="0" applyFont="1" applyFill="1" applyBorder="1"/>
    <xf numFmtId="0" fontId="15" fillId="8" borderId="18" xfId="0" applyFont="1" applyFill="1" applyBorder="1"/>
    <xf numFmtId="0" fontId="15" fillId="8" borderId="0" xfId="0" applyFont="1" applyFill="1"/>
    <xf numFmtId="0" fontId="15" fillId="9" borderId="18"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7" xfId="0" applyFont="1" applyBorder="1"/>
    <xf numFmtId="165" fontId="4" fillId="0" borderId="0" xfId="0" applyNumberFormat="1" applyFont="1"/>
    <xf numFmtId="165" fontId="4" fillId="0" borderId="0" xfId="0" applyNumberFormat="1" applyFont="1" applyAlignment="1">
      <alignment wrapText="1"/>
    </xf>
    <xf numFmtId="0" fontId="17" fillId="13" borderId="36" xfId="0" applyFont="1" applyFill="1" applyBorder="1" applyAlignment="1">
      <alignment horizontal="left" wrapText="1" readingOrder="1"/>
    </xf>
    <xf numFmtId="0" fontId="17" fillId="0" borderId="36" xfId="0" applyFont="1" applyBorder="1" applyAlignment="1">
      <alignment horizontal="left"/>
    </xf>
    <xf numFmtId="0" fontId="17" fillId="0" borderId="36" xfId="0" applyFont="1" applyBorder="1"/>
    <xf numFmtId="0" fontId="17" fillId="0" borderId="6" xfId="0" applyFont="1" applyBorder="1" applyAlignment="1">
      <alignment horizontal="left"/>
    </xf>
    <xf numFmtId="0" fontId="17" fillId="0" borderId="6" xfId="0" applyFont="1" applyBorder="1"/>
    <xf numFmtId="0" fontId="11" fillId="12" borderId="16" xfId="0" applyFont="1" applyFill="1" applyBorder="1"/>
    <xf numFmtId="164" fontId="4" fillId="2" borderId="0" xfId="0" applyNumberFormat="1" applyFont="1" applyFill="1" applyAlignment="1">
      <alignment wrapText="1"/>
    </xf>
    <xf numFmtId="14" fontId="4" fillId="0" borderId="9"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3" xfId="0" applyNumberFormat="1" applyFont="1" applyFill="1" applyBorder="1" applyAlignment="1">
      <alignment horizontal="center" vertical="center"/>
    </xf>
    <xf numFmtId="167" fontId="4" fillId="0" borderId="26" xfId="0" applyNumberFormat="1" applyFont="1" applyBorder="1" applyAlignment="1">
      <alignment horizontal="center" vertical="center"/>
    </xf>
    <xf numFmtId="17" fontId="4" fillId="0" borderId="24"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38"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2" xfId="0" applyFont="1" applyBorder="1" applyAlignment="1">
      <alignment horizontal="center" vertical="center" wrapText="1"/>
    </xf>
    <xf numFmtId="0" fontId="12" fillId="0" borderId="3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7" xfId="0" applyFont="1" applyBorder="1"/>
    <xf numFmtId="0" fontId="4" fillId="0" borderId="29" xfId="0" applyFont="1" applyBorder="1"/>
    <xf numFmtId="0" fontId="4" fillId="0" borderId="30" xfId="0" applyFont="1" applyBorder="1"/>
    <xf numFmtId="0" fontId="12" fillId="0" borderId="0" xfId="0" applyFont="1" applyAlignment="1">
      <alignment vertical="center" wrapText="1"/>
    </xf>
    <xf numFmtId="0" fontId="4" fillId="0" borderId="9" xfId="0" applyFont="1" applyBorder="1" applyAlignment="1">
      <alignment vertical="center" wrapText="1"/>
    </xf>
    <xf numFmtId="0" fontId="2" fillId="3" borderId="6" xfId="0" applyFont="1" applyFill="1" applyBorder="1"/>
    <xf numFmtId="0" fontId="12" fillId="3" borderId="6" xfId="0" applyFont="1" applyFill="1" applyBorder="1"/>
    <xf numFmtId="0" fontId="17" fillId="12" borderId="36" xfId="0" applyFont="1" applyFill="1" applyBorder="1" applyAlignment="1">
      <alignment horizontal="left"/>
    </xf>
    <xf numFmtId="0" fontId="17" fillId="12" borderId="36" xfId="0" applyFont="1" applyFill="1" applyBorder="1" applyAlignment="1">
      <alignment horizontal="left" vertical="center" wrapText="1"/>
    </xf>
    <xf numFmtId="0" fontId="18" fillId="12" borderId="36" xfId="0" applyFont="1" applyFill="1" applyBorder="1" applyAlignment="1">
      <alignment vertical="center"/>
    </xf>
    <xf numFmtId="0" fontId="17" fillId="12" borderId="36" xfId="0" applyFont="1" applyFill="1" applyBorder="1"/>
    <xf numFmtId="0" fontId="17" fillId="12" borderId="44" xfId="0" applyFont="1" applyFill="1" applyBorder="1" applyAlignment="1">
      <alignment horizontal="left"/>
    </xf>
    <xf numFmtId="0" fontId="17" fillId="0" borderId="44" xfId="0" applyFont="1" applyBorder="1"/>
    <xf numFmtId="0" fontId="17" fillId="0" borderId="44" xfId="0" applyFont="1" applyBorder="1" applyAlignment="1">
      <alignment horizontal="left"/>
    </xf>
    <xf numFmtId="0" fontId="17" fillId="12" borderId="44" xfId="0" applyFont="1" applyFill="1" applyBorder="1"/>
    <xf numFmtId="0" fontId="17" fillId="0" borderId="44" xfId="0" applyFont="1" applyBorder="1" applyAlignment="1">
      <alignment horizontal="left" vertical="center" wrapText="1"/>
    </xf>
    <xf numFmtId="0" fontId="17" fillId="12" borderId="42" xfId="0" applyFont="1" applyFill="1" applyBorder="1"/>
    <xf numFmtId="0" fontId="17" fillId="0" borderId="6" xfId="0" applyFont="1" applyBorder="1" applyAlignment="1">
      <alignment horizontal="left" vertical="center" wrapText="1"/>
    </xf>
    <xf numFmtId="0" fontId="17" fillId="12" borderId="6" xfId="0" applyFont="1" applyFill="1" applyBorder="1" applyAlignment="1">
      <alignment horizontal="left"/>
    </xf>
    <xf numFmtId="0" fontId="17" fillId="12" borderId="6" xfId="0" applyFont="1" applyFill="1" applyBorder="1" applyAlignment="1">
      <alignment horizontal="left" vertical="center" wrapText="1"/>
    </xf>
    <xf numFmtId="0" fontId="17" fillId="12" borderId="6" xfId="0" applyFont="1" applyFill="1" applyBorder="1"/>
    <xf numFmtId="0" fontId="17" fillId="12" borderId="42" xfId="0" applyFont="1" applyFill="1" applyBorder="1" applyAlignment="1">
      <alignment horizontal="left" vertical="center" wrapText="1"/>
    </xf>
    <xf numFmtId="0" fontId="17" fillId="0" borderId="43" xfId="0" applyFont="1" applyBorder="1" applyAlignment="1">
      <alignment horizontal="left" vertical="center" wrapText="1"/>
    </xf>
    <xf numFmtId="0" fontId="17" fillId="12" borderId="45" xfId="0" applyFont="1" applyFill="1" applyBorder="1" applyAlignment="1">
      <alignment horizontal="left" vertical="center" wrapText="1"/>
    </xf>
    <xf numFmtId="0" fontId="17" fillId="10" borderId="6" xfId="0" applyFont="1" applyFill="1" applyBorder="1" applyAlignment="1">
      <alignment horizontal="left"/>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4" fillId="0" borderId="25" xfId="0" applyFont="1" applyBorder="1" applyAlignment="1">
      <alignment horizontal="left" vertical="center"/>
    </xf>
    <xf numFmtId="0" fontId="12" fillId="5" borderId="11" xfId="0" applyFont="1" applyFill="1" applyBorder="1" applyAlignment="1">
      <alignment horizontal="left" vertical="center"/>
    </xf>
    <xf numFmtId="0" fontId="12" fillId="5" borderId="32" xfId="0" applyFont="1" applyFill="1" applyBorder="1" applyAlignment="1">
      <alignment horizontal="left" vertical="center"/>
    </xf>
    <xf numFmtId="0" fontId="12" fillId="5" borderId="22" xfId="0" applyFont="1" applyFill="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3" fillId="14" borderId="0" xfId="0" applyFont="1" applyFill="1" applyAlignment="1">
      <alignment horizontal="center" vertical="center"/>
    </xf>
    <xf numFmtId="0" fontId="4" fillId="11" borderId="9" xfId="0" applyFont="1" applyFill="1" applyBorder="1" applyAlignment="1">
      <alignment horizontal="center"/>
    </xf>
    <xf numFmtId="0" fontId="4" fillId="11" borderId="0" xfId="0" applyFont="1" applyFill="1" applyAlignment="1">
      <alignment horizontal="center"/>
    </xf>
    <xf numFmtId="0" fontId="4" fillId="5" borderId="39" xfId="0" applyFont="1" applyFill="1" applyBorder="1" applyAlignment="1">
      <alignment horizontal="center" vertical="center"/>
    </xf>
    <xf numFmtId="0" fontId="4" fillId="5" borderId="40" xfId="0" applyFont="1" applyFill="1" applyBorder="1" applyAlignment="1">
      <alignment horizontal="center" vertical="center"/>
    </xf>
    <xf numFmtId="0" fontId="12" fillId="0" borderId="0" xfId="0" applyFont="1" applyAlignment="1">
      <alignmen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8" xfId="0" applyFont="1" applyBorder="1" applyAlignment="1">
      <alignment horizontal="center"/>
    </xf>
    <xf numFmtId="0" fontId="4" fillId="0" borderId="33" xfId="0" applyFont="1" applyBorder="1" applyAlignment="1">
      <alignment horizontal="center"/>
    </xf>
    <xf numFmtId="0" fontId="4" fillId="0" borderId="6" xfId="0" applyFont="1" applyBorder="1" applyAlignment="1">
      <alignment horizontal="center"/>
    </xf>
    <xf numFmtId="0" fontId="4" fillId="0" borderId="34" xfId="0" applyFont="1" applyBorder="1" applyAlignment="1">
      <alignment horizontal="center"/>
    </xf>
    <xf numFmtId="0" fontId="4" fillId="0" borderId="31" xfId="0" applyFont="1" applyBorder="1" applyAlignment="1">
      <alignment horizontal="center"/>
    </xf>
    <xf numFmtId="0" fontId="4" fillId="0" borderId="35" xfId="0" applyFont="1" applyBorder="1" applyAlignment="1">
      <alignment horizontal="center"/>
    </xf>
    <xf numFmtId="0" fontId="13" fillId="4" borderId="41"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7" xfId="0" applyFont="1" applyBorder="1" applyAlignment="1">
      <alignment horizontal="center" vertical="center" wrapText="1"/>
    </xf>
  </cellXfs>
  <cellStyles count="1">
    <cellStyle name="Normal" xfId="0" builtinId="0"/>
  </cellStyles>
  <dxfs count="10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color rgb="FF000000"/>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6DEDDFA-4F77-4A2A-9E3F-42B2D8D7D07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99031BC8-5919-45D4-9396-242446A7F4D1}"/>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72" totalsRowShown="0" headerRowDxfId="102" dataDxfId="101">
  <autoFilter ref="H2:H72" xr:uid="{2E876225-7964-4082-91F1-C6221C464408}"/>
  <tableColumns count="1">
    <tableColumn id="2" xr3:uid="{234A6588-4DEA-4067-9367-AEAFE02CA40D}" name="Re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99" dataDxfId="98" tableBorderDxfId="97">
  <autoFilter ref="F2:F39" xr:uid="{B149CFBE-03DA-4A5C-8F86-52A53133C863}"/>
  <sortState xmlns:xlrd2="http://schemas.microsoft.com/office/spreadsheetml/2017/richdata2" ref="F3:F19">
    <sortCondition ref="F2:F19"/>
  </sortState>
  <tableColumns count="1">
    <tableColumn id="1" xr3:uid="{D9788319-59C4-447A-9364-6F4EF6730453}" name="Descriptio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67"/>
  <sheetViews>
    <sheetView topLeftCell="B54" zoomScale="85" zoomScaleNormal="85" workbookViewId="0">
      <selection activeCell="G57" sqref="G57"/>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203</v>
      </c>
      <c r="H5" s="40"/>
    </row>
    <row r="6" spans="1:10" x14ac:dyDescent="0.2">
      <c r="A6" s="37" t="s">
        <v>94</v>
      </c>
      <c r="B6" s="74">
        <f>F62</f>
        <v>0</v>
      </c>
      <c r="C6" s="37"/>
      <c r="H6" s="40"/>
      <c r="J6" s="41"/>
    </row>
    <row r="7" spans="1:10" x14ac:dyDescent="0.2">
      <c r="A7" s="37"/>
      <c r="B7" s="46"/>
      <c r="C7" s="37"/>
      <c r="D7" s="37"/>
      <c r="E7" s="37"/>
      <c r="H7" s="40"/>
      <c r="J7" s="41"/>
    </row>
    <row r="8" spans="1:10" ht="25.2" x14ac:dyDescent="0.2">
      <c r="A8" s="24" t="s">
        <v>0</v>
      </c>
      <c r="B8" s="25" t="s">
        <v>1</v>
      </c>
      <c r="C8" s="25" t="s">
        <v>3</v>
      </c>
      <c r="D8" s="25" t="s">
        <v>4</v>
      </c>
      <c r="E8" s="25" t="s">
        <v>5</v>
      </c>
      <c r="F8" s="25" t="s">
        <v>6</v>
      </c>
      <c r="G8" s="42" t="s">
        <v>7</v>
      </c>
      <c r="H8" s="26" t="s">
        <v>8</v>
      </c>
      <c r="I8" s="26" t="s">
        <v>9</v>
      </c>
      <c r="J8" s="43" t="s">
        <v>10</v>
      </c>
    </row>
    <row r="9" spans="1:10" ht="75.599999999999994" x14ac:dyDescent="0.2">
      <c r="A9" s="22">
        <v>45748</v>
      </c>
      <c r="B9" s="22" t="s">
        <v>18</v>
      </c>
      <c r="C9" s="27" t="s">
        <v>130</v>
      </c>
      <c r="D9" s="27" t="s">
        <v>223</v>
      </c>
      <c r="E9" s="27" t="s">
        <v>62</v>
      </c>
      <c r="F9" s="27" t="s">
        <v>15</v>
      </c>
      <c r="G9" s="28" t="s">
        <v>224</v>
      </c>
      <c r="H9" s="29">
        <f t="shared" ref="H9" si="0">J9-I9</f>
        <v>0.16666666666666669</v>
      </c>
      <c r="I9" s="30">
        <v>0.33333333333333331</v>
      </c>
      <c r="J9" s="30">
        <v>0.5</v>
      </c>
    </row>
    <row r="10" spans="1:10" ht="75.599999999999994" x14ac:dyDescent="0.2">
      <c r="A10" s="22">
        <v>45748</v>
      </c>
      <c r="B10" s="22" t="s">
        <v>18</v>
      </c>
      <c r="C10" s="27" t="s">
        <v>130</v>
      </c>
      <c r="D10" s="27" t="s">
        <v>223</v>
      </c>
      <c r="E10" s="27" t="s">
        <v>62</v>
      </c>
      <c r="F10" s="27" t="s">
        <v>15</v>
      </c>
      <c r="G10" s="28" t="s">
        <v>225</v>
      </c>
      <c r="H10" s="29">
        <f t="shared" ref="H10" si="1">J10-I10</f>
        <v>0.1875</v>
      </c>
      <c r="I10" s="30">
        <v>0.54166666666666663</v>
      </c>
      <c r="J10" s="30">
        <v>0.72916666666666663</v>
      </c>
    </row>
    <row r="11" spans="1:10" ht="113.4" x14ac:dyDescent="0.2">
      <c r="A11" s="22">
        <v>45749</v>
      </c>
      <c r="B11" s="22" t="s">
        <v>19</v>
      </c>
      <c r="C11" s="27" t="s">
        <v>130</v>
      </c>
      <c r="D11" s="27" t="s">
        <v>223</v>
      </c>
      <c r="E11" s="27" t="s">
        <v>62</v>
      </c>
      <c r="F11" s="27" t="s">
        <v>15</v>
      </c>
      <c r="G11" s="28" t="s">
        <v>228</v>
      </c>
      <c r="H11" s="29">
        <f t="shared" ref="H11:H56" si="2">J11-I11</f>
        <v>0.16666666666666669</v>
      </c>
      <c r="I11" s="30">
        <v>0.33333333333333331</v>
      </c>
      <c r="J11" s="30">
        <v>0.5</v>
      </c>
    </row>
    <row r="12" spans="1:10" ht="63" x14ac:dyDescent="0.2">
      <c r="A12" s="22">
        <v>45749</v>
      </c>
      <c r="B12" s="22" t="s">
        <v>19</v>
      </c>
      <c r="C12" s="27" t="s">
        <v>130</v>
      </c>
      <c r="D12" s="27" t="s">
        <v>223</v>
      </c>
      <c r="E12" s="27" t="s">
        <v>62</v>
      </c>
      <c r="F12" s="27" t="s">
        <v>15</v>
      </c>
      <c r="G12" s="28" t="s">
        <v>229</v>
      </c>
      <c r="H12" s="29">
        <f t="shared" ref="H12" si="3">J12-I12</f>
        <v>0.1875</v>
      </c>
      <c r="I12" s="30">
        <v>0.54166666666666663</v>
      </c>
      <c r="J12" s="30">
        <v>0.72916666666666663</v>
      </c>
    </row>
    <row r="13" spans="1:10" ht="75.599999999999994" x14ac:dyDescent="0.2">
      <c r="A13" s="22">
        <v>45750</v>
      </c>
      <c r="B13" s="22" t="s">
        <v>20</v>
      </c>
      <c r="C13" s="27" t="s">
        <v>130</v>
      </c>
      <c r="D13" s="27" t="s">
        <v>223</v>
      </c>
      <c r="E13" s="27" t="s">
        <v>62</v>
      </c>
      <c r="F13" s="27" t="s">
        <v>15</v>
      </c>
      <c r="G13" s="28" t="s">
        <v>226</v>
      </c>
      <c r="H13" s="29">
        <f t="shared" si="2"/>
        <v>0.16666666666666669</v>
      </c>
      <c r="I13" s="30">
        <v>0.33333333333333331</v>
      </c>
      <c r="J13" s="30">
        <v>0.5</v>
      </c>
    </row>
    <row r="14" spans="1:10" ht="63" x14ac:dyDescent="0.2">
      <c r="A14" s="22">
        <v>45750</v>
      </c>
      <c r="B14" s="22" t="s">
        <v>20</v>
      </c>
      <c r="C14" s="27" t="s">
        <v>130</v>
      </c>
      <c r="D14" s="27" t="s">
        <v>223</v>
      </c>
      <c r="E14" s="27" t="s">
        <v>62</v>
      </c>
      <c r="F14" s="27" t="s">
        <v>15</v>
      </c>
      <c r="G14" s="28" t="s">
        <v>230</v>
      </c>
      <c r="H14" s="29">
        <f t="shared" ref="H14" si="4">J14-I14</f>
        <v>0.1791666666666667</v>
      </c>
      <c r="I14" s="30">
        <v>0.54166666666666663</v>
      </c>
      <c r="J14" s="30">
        <v>0.72083333333333333</v>
      </c>
    </row>
    <row r="15" spans="1:10" ht="63" x14ac:dyDescent="0.2">
      <c r="A15" s="22">
        <v>45751</v>
      </c>
      <c r="B15" s="22" t="s">
        <v>11</v>
      </c>
      <c r="C15" s="27" t="s">
        <v>130</v>
      </c>
      <c r="D15" s="27" t="s">
        <v>223</v>
      </c>
      <c r="E15" s="27" t="s">
        <v>62</v>
      </c>
      <c r="F15" s="27" t="s">
        <v>15</v>
      </c>
      <c r="G15" s="28" t="s">
        <v>231</v>
      </c>
      <c r="H15" s="29">
        <f t="shared" si="2"/>
        <v>0.16666666666666669</v>
      </c>
      <c r="I15" s="30">
        <v>0.33333333333333331</v>
      </c>
      <c r="J15" s="30">
        <v>0.5</v>
      </c>
    </row>
    <row r="16" spans="1:10" ht="75.599999999999994" x14ac:dyDescent="0.2">
      <c r="A16" s="22">
        <v>45751</v>
      </c>
      <c r="B16" s="22" t="s">
        <v>11</v>
      </c>
      <c r="C16" s="27" t="s">
        <v>130</v>
      </c>
      <c r="D16" s="27" t="s">
        <v>223</v>
      </c>
      <c r="E16" s="27" t="s">
        <v>62</v>
      </c>
      <c r="F16" s="27" t="s">
        <v>15</v>
      </c>
      <c r="G16" s="28" t="s">
        <v>227</v>
      </c>
      <c r="H16" s="29">
        <f t="shared" ref="H16" si="5">J16-I16</f>
        <v>0.21527777777777779</v>
      </c>
      <c r="I16" s="30">
        <v>0.54166666666666663</v>
      </c>
      <c r="J16" s="30">
        <v>0.75694444444444442</v>
      </c>
    </row>
    <row r="17" spans="1:10" x14ac:dyDescent="0.2">
      <c r="A17" s="31">
        <v>45752</v>
      </c>
      <c r="B17" s="31" t="s">
        <v>14</v>
      </c>
      <c r="C17" s="32"/>
      <c r="D17" s="32"/>
      <c r="E17" s="32"/>
      <c r="F17" s="32"/>
      <c r="G17" s="33"/>
      <c r="H17" s="34">
        <f t="shared" si="2"/>
        <v>0</v>
      </c>
      <c r="I17" s="35"/>
      <c r="J17" s="35"/>
    </row>
    <row r="18" spans="1:10" x14ac:dyDescent="0.2">
      <c r="A18" s="31">
        <v>45753</v>
      </c>
      <c r="B18" s="31" t="s">
        <v>16</v>
      </c>
      <c r="C18" s="32"/>
      <c r="D18" s="32"/>
      <c r="E18" s="32"/>
      <c r="F18" s="32"/>
      <c r="G18" s="33"/>
      <c r="H18" s="34">
        <f t="shared" si="2"/>
        <v>0</v>
      </c>
      <c r="I18" s="35"/>
      <c r="J18" s="35"/>
    </row>
    <row r="19" spans="1:10" ht="75.599999999999994" x14ac:dyDescent="0.2">
      <c r="A19" s="22">
        <v>45754</v>
      </c>
      <c r="B19" s="22" t="s">
        <v>17</v>
      </c>
      <c r="C19" s="27" t="s">
        <v>130</v>
      </c>
      <c r="D19" s="27" t="s">
        <v>223</v>
      </c>
      <c r="E19" s="27" t="s">
        <v>62</v>
      </c>
      <c r="F19" s="27" t="s">
        <v>15</v>
      </c>
      <c r="G19" s="28" t="s">
        <v>232</v>
      </c>
      <c r="H19" s="29">
        <f t="shared" si="2"/>
        <v>0.16666666666666669</v>
      </c>
      <c r="I19" s="30">
        <v>0.33333333333333331</v>
      </c>
      <c r="J19" s="30">
        <v>0.5</v>
      </c>
    </row>
    <row r="20" spans="1:10" ht="75.599999999999994" x14ac:dyDescent="0.2">
      <c r="A20" s="22">
        <v>45754</v>
      </c>
      <c r="B20" s="22" t="s">
        <v>17</v>
      </c>
      <c r="C20" s="27" t="s">
        <v>130</v>
      </c>
      <c r="D20" s="27" t="s">
        <v>223</v>
      </c>
      <c r="E20" s="27" t="s">
        <v>62</v>
      </c>
      <c r="F20" s="27" t="s">
        <v>15</v>
      </c>
      <c r="G20" s="28" t="s">
        <v>233</v>
      </c>
      <c r="H20" s="29">
        <f t="shared" ref="H20" si="6">J20-I20</f>
        <v>0.18958333333333333</v>
      </c>
      <c r="I20" s="30">
        <v>0.54166666666666663</v>
      </c>
      <c r="J20" s="30">
        <v>0.73124999999999996</v>
      </c>
    </row>
    <row r="21" spans="1:10" ht="88.2" x14ac:dyDescent="0.2">
      <c r="A21" s="22">
        <v>45755</v>
      </c>
      <c r="B21" s="22" t="s">
        <v>18</v>
      </c>
      <c r="C21" s="27" t="s">
        <v>130</v>
      </c>
      <c r="D21" s="27" t="s">
        <v>223</v>
      </c>
      <c r="E21" s="27" t="s">
        <v>62</v>
      </c>
      <c r="F21" s="27" t="s">
        <v>15</v>
      </c>
      <c r="G21" s="28" t="s">
        <v>243</v>
      </c>
      <c r="H21" s="29">
        <f t="shared" si="2"/>
        <v>0.16666666666666669</v>
      </c>
      <c r="I21" s="30">
        <v>0.33333333333333331</v>
      </c>
      <c r="J21" s="30">
        <v>0.5</v>
      </c>
    </row>
    <row r="22" spans="1:10" ht="100.8" x14ac:dyDescent="0.2">
      <c r="A22" s="22">
        <v>45755</v>
      </c>
      <c r="B22" s="22" t="s">
        <v>18</v>
      </c>
      <c r="C22" s="27" t="s">
        <v>130</v>
      </c>
      <c r="D22" s="27" t="s">
        <v>223</v>
      </c>
      <c r="E22" s="27" t="s">
        <v>62</v>
      </c>
      <c r="F22" s="27" t="s">
        <v>15</v>
      </c>
      <c r="G22" s="28" t="s">
        <v>244</v>
      </c>
      <c r="H22" s="29">
        <f t="shared" ref="H22" si="7">J22-I22</f>
        <v>0.18958333333333333</v>
      </c>
      <c r="I22" s="30">
        <v>0.54166666666666663</v>
      </c>
      <c r="J22" s="30">
        <v>0.73124999999999996</v>
      </c>
    </row>
    <row r="23" spans="1:10" ht="63" x14ac:dyDescent="0.2">
      <c r="A23" s="22">
        <v>45756</v>
      </c>
      <c r="B23" s="22" t="s">
        <v>19</v>
      </c>
      <c r="C23" s="27" t="s">
        <v>130</v>
      </c>
      <c r="D23" s="27" t="s">
        <v>223</v>
      </c>
      <c r="E23" s="27" t="s">
        <v>62</v>
      </c>
      <c r="F23" s="27" t="s">
        <v>15</v>
      </c>
      <c r="G23" s="28" t="s">
        <v>234</v>
      </c>
      <c r="H23" s="29">
        <f t="shared" si="2"/>
        <v>0.16666666666666669</v>
      </c>
      <c r="I23" s="30">
        <v>0.33333333333333331</v>
      </c>
      <c r="J23" s="30">
        <v>0.5</v>
      </c>
    </row>
    <row r="24" spans="1:10" ht="75.599999999999994" x14ac:dyDescent="0.2">
      <c r="A24" s="22">
        <v>45756</v>
      </c>
      <c r="B24" s="22" t="s">
        <v>19</v>
      </c>
      <c r="C24" s="27" t="s">
        <v>130</v>
      </c>
      <c r="D24" s="27" t="s">
        <v>223</v>
      </c>
      <c r="E24" s="27" t="s">
        <v>62</v>
      </c>
      <c r="F24" s="27" t="s">
        <v>15</v>
      </c>
      <c r="G24" s="28" t="s">
        <v>235</v>
      </c>
      <c r="H24" s="29">
        <f t="shared" ref="H24" si="8">J24-I24</f>
        <v>0.20069444444444451</v>
      </c>
      <c r="I24" s="30">
        <v>0.54166666666666663</v>
      </c>
      <c r="J24" s="30">
        <v>0.74236111111111114</v>
      </c>
    </row>
    <row r="25" spans="1:10" ht="75.599999999999994" x14ac:dyDescent="0.2">
      <c r="A25" s="22">
        <v>45757</v>
      </c>
      <c r="B25" s="22" t="s">
        <v>20</v>
      </c>
      <c r="C25" s="27" t="s">
        <v>130</v>
      </c>
      <c r="D25" s="27" t="s">
        <v>223</v>
      </c>
      <c r="E25" s="27" t="s">
        <v>62</v>
      </c>
      <c r="F25" s="27" t="s">
        <v>15</v>
      </c>
      <c r="G25" s="28" t="s">
        <v>236</v>
      </c>
      <c r="H25" s="29">
        <f t="shared" si="2"/>
        <v>0.16666666666666669</v>
      </c>
      <c r="I25" s="30">
        <v>0.33333333333333331</v>
      </c>
      <c r="J25" s="30">
        <v>0.5</v>
      </c>
    </row>
    <row r="26" spans="1:10" ht="88.2" x14ac:dyDescent="0.2">
      <c r="A26" s="22">
        <v>45757</v>
      </c>
      <c r="B26" s="22" t="s">
        <v>20</v>
      </c>
      <c r="C26" s="27" t="s">
        <v>130</v>
      </c>
      <c r="D26" s="27" t="s">
        <v>223</v>
      </c>
      <c r="E26" s="27" t="s">
        <v>62</v>
      </c>
      <c r="F26" s="27" t="s">
        <v>15</v>
      </c>
      <c r="G26" s="28" t="s">
        <v>237</v>
      </c>
      <c r="H26" s="29">
        <f t="shared" ref="H26" si="9">J26-I26</f>
        <v>0.23472222222222228</v>
      </c>
      <c r="I26" s="30">
        <v>0.54166666666666663</v>
      </c>
      <c r="J26" s="30">
        <v>0.77638888888888891</v>
      </c>
    </row>
    <row r="27" spans="1:10" ht="88.2" x14ac:dyDescent="0.2">
      <c r="A27" s="22">
        <v>45758</v>
      </c>
      <c r="B27" s="22" t="s">
        <v>11</v>
      </c>
      <c r="C27" s="27" t="s">
        <v>130</v>
      </c>
      <c r="D27" s="27" t="s">
        <v>223</v>
      </c>
      <c r="E27" s="27" t="s">
        <v>62</v>
      </c>
      <c r="F27" s="27" t="s">
        <v>15</v>
      </c>
      <c r="G27" s="28" t="s">
        <v>238</v>
      </c>
      <c r="H27" s="29">
        <f t="shared" si="2"/>
        <v>0.16666666666666669</v>
      </c>
      <c r="I27" s="30">
        <v>0.33333333333333331</v>
      </c>
      <c r="J27" s="30">
        <v>0.5</v>
      </c>
    </row>
    <row r="28" spans="1:10" ht="50.4" x14ac:dyDescent="0.2">
      <c r="A28" s="22">
        <v>45758</v>
      </c>
      <c r="B28" s="22" t="s">
        <v>11</v>
      </c>
      <c r="C28" s="27" t="s">
        <v>130</v>
      </c>
      <c r="D28" s="27" t="s">
        <v>223</v>
      </c>
      <c r="E28" s="27" t="s">
        <v>62</v>
      </c>
      <c r="F28" s="27" t="s">
        <v>15</v>
      </c>
      <c r="G28" s="28" t="s">
        <v>239</v>
      </c>
      <c r="H28" s="29">
        <f t="shared" ref="H28" si="10">J28-I28</f>
        <v>0.18055555555555558</v>
      </c>
      <c r="I28" s="30">
        <v>0.54166666666666663</v>
      </c>
      <c r="J28" s="30">
        <v>0.72222222222222221</v>
      </c>
    </row>
    <row r="29" spans="1:10" x14ac:dyDescent="0.2">
      <c r="A29" s="31">
        <v>45759</v>
      </c>
      <c r="B29" s="31" t="s">
        <v>14</v>
      </c>
      <c r="C29" s="32"/>
      <c r="D29" s="32"/>
      <c r="E29" s="32"/>
      <c r="F29" s="32"/>
      <c r="G29" s="33"/>
      <c r="H29" s="34">
        <f t="shared" si="2"/>
        <v>0</v>
      </c>
      <c r="I29" s="35"/>
      <c r="J29" s="35"/>
    </row>
    <row r="30" spans="1:10" x14ac:dyDescent="0.2">
      <c r="A30" s="31">
        <v>45760</v>
      </c>
      <c r="B30" s="31" t="s">
        <v>16</v>
      </c>
      <c r="C30" s="32"/>
      <c r="D30" s="32"/>
      <c r="E30" s="32"/>
      <c r="F30" s="32"/>
      <c r="G30" s="33"/>
      <c r="H30" s="34">
        <f t="shared" si="2"/>
        <v>0</v>
      </c>
      <c r="I30" s="35"/>
      <c r="J30" s="35"/>
    </row>
    <row r="31" spans="1:10" ht="50.4" x14ac:dyDescent="0.2">
      <c r="A31" s="22">
        <v>45761</v>
      </c>
      <c r="B31" s="22" t="s">
        <v>17</v>
      </c>
      <c r="C31" s="27" t="s">
        <v>130</v>
      </c>
      <c r="D31" s="27" t="s">
        <v>223</v>
      </c>
      <c r="E31" s="27" t="s">
        <v>62</v>
      </c>
      <c r="F31" s="27" t="s">
        <v>15</v>
      </c>
      <c r="G31" s="28" t="s">
        <v>240</v>
      </c>
      <c r="H31" s="29">
        <f t="shared" si="2"/>
        <v>0.16666666666666669</v>
      </c>
      <c r="I31" s="30">
        <v>0.33333333333333331</v>
      </c>
      <c r="J31" s="30">
        <v>0.5</v>
      </c>
    </row>
    <row r="32" spans="1:10" ht="88.2" x14ac:dyDescent="0.2">
      <c r="A32" s="22">
        <v>45761</v>
      </c>
      <c r="B32" s="22" t="s">
        <v>17</v>
      </c>
      <c r="C32" s="27" t="s">
        <v>130</v>
      </c>
      <c r="D32" s="27" t="s">
        <v>223</v>
      </c>
      <c r="E32" s="27" t="s">
        <v>62</v>
      </c>
      <c r="F32" s="27" t="s">
        <v>15</v>
      </c>
      <c r="G32" s="28" t="s">
        <v>241</v>
      </c>
      <c r="H32" s="29">
        <f t="shared" ref="H32" si="11">J32-I32</f>
        <v>0.19375000000000009</v>
      </c>
      <c r="I32" s="30">
        <v>0.54166666666666663</v>
      </c>
      <c r="J32" s="30">
        <v>0.73541666666666672</v>
      </c>
    </row>
    <row r="33" spans="1:10" ht="63" x14ac:dyDescent="0.2">
      <c r="A33" s="22">
        <v>45762</v>
      </c>
      <c r="B33" s="22" t="s">
        <v>18</v>
      </c>
      <c r="C33" s="27" t="s">
        <v>130</v>
      </c>
      <c r="D33" s="27" t="s">
        <v>223</v>
      </c>
      <c r="E33" s="27" t="s">
        <v>62</v>
      </c>
      <c r="F33" s="27" t="s">
        <v>15</v>
      </c>
      <c r="G33" s="28" t="s">
        <v>245</v>
      </c>
      <c r="H33" s="29">
        <f t="shared" si="2"/>
        <v>0.16666666666666669</v>
      </c>
      <c r="I33" s="30">
        <v>0.33333333333333331</v>
      </c>
      <c r="J33" s="30">
        <v>0.5</v>
      </c>
    </row>
    <row r="34" spans="1:10" ht="63" x14ac:dyDescent="0.2">
      <c r="A34" s="22">
        <v>45762</v>
      </c>
      <c r="B34" s="22" t="s">
        <v>18</v>
      </c>
      <c r="C34" s="27" t="s">
        <v>130</v>
      </c>
      <c r="D34" s="27" t="s">
        <v>223</v>
      </c>
      <c r="E34" s="27" t="s">
        <v>62</v>
      </c>
      <c r="F34" s="27" t="s">
        <v>15</v>
      </c>
      <c r="G34" s="28" t="s">
        <v>242</v>
      </c>
      <c r="H34" s="29">
        <f t="shared" ref="H34" si="12">J34-I34</f>
        <v>0.18125000000000002</v>
      </c>
      <c r="I34" s="30">
        <v>0.54166666666666663</v>
      </c>
      <c r="J34" s="30">
        <v>0.72291666666666665</v>
      </c>
    </row>
    <row r="35" spans="1:10" ht="75.599999999999994" x14ac:dyDescent="0.2">
      <c r="A35" s="22">
        <v>45763</v>
      </c>
      <c r="B35" s="22" t="s">
        <v>19</v>
      </c>
      <c r="C35" s="27" t="s">
        <v>130</v>
      </c>
      <c r="D35" s="27" t="s">
        <v>223</v>
      </c>
      <c r="E35" s="27" t="s">
        <v>62</v>
      </c>
      <c r="F35" s="27" t="s">
        <v>15</v>
      </c>
      <c r="G35" s="28" t="s">
        <v>246</v>
      </c>
      <c r="H35" s="29">
        <f t="shared" si="2"/>
        <v>0.16666666666666669</v>
      </c>
      <c r="I35" s="30">
        <v>0.33333333333333331</v>
      </c>
      <c r="J35" s="30">
        <v>0.5</v>
      </c>
    </row>
    <row r="36" spans="1:10" ht="63" x14ac:dyDescent="0.2">
      <c r="A36" s="22">
        <v>45763</v>
      </c>
      <c r="B36" s="22" t="s">
        <v>19</v>
      </c>
      <c r="C36" s="27" t="s">
        <v>130</v>
      </c>
      <c r="D36" s="27" t="s">
        <v>223</v>
      </c>
      <c r="E36" s="27" t="s">
        <v>62</v>
      </c>
      <c r="F36" s="27" t="s">
        <v>15</v>
      </c>
      <c r="G36" s="28" t="s">
        <v>242</v>
      </c>
      <c r="H36" s="29">
        <f t="shared" ref="H36" si="13">J36-I36</f>
        <v>0.19097222222222221</v>
      </c>
      <c r="I36" s="30">
        <v>0.54166666666666663</v>
      </c>
      <c r="J36" s="30">
        <v>0.73263888888888884</v>
      </c>
    </row>
    <row r="37" spans="1:10" ht="75.599999999999994" x14ac:dyDescent="0.2">
      <c r="A37" s="22">
        <v>45764</v>
      </c>
      <c r="B37" s="22" t="s">
        <v>20</v>
      </c>
      <c r="C37" s="27" t="s">
        <v>130</v>
      </c>
      <c r="D37" s="27" t="s">
        <v>223</v>
      </c>
      <c r="E37" s="27" t="s">
        <v>62</v>
      </c>
      <c r="F37" s="27" t="s">
        <v>15</v>
      </c>
      <c r="G37" s="28" t="s">
        <v>247</v>
      </c>
      <c r="H37" s="29">
        <f t="shared" si="2"/>
        <v>0.16666666666666669</v>
      </c>
      <c r="I37" s="30">
        <v>0.33333333333333331</v>
      </c>
      <c r="J37" s="30">
        <v>0.5</v>
      </c>
    </row>
    <row r="38" spans="1:10" ht="100.8" x14ac:dyDescent="0.2">
      <c r="A38" s="22">
        <v>45764</v>
      </c>
      <c r="B38" s="22" t="s">
        <v>20</v>
      </c>
      <c r="C38" s="27" t="s">
        <v>130</v>
      </c>
      <c r="D38" s="27" t="s">
        <v>223</v>
      </c>
      <c r="E38" s="27" t="s">
        <v>62</v>
      </c>
      <c r="F38" s="27" t="s">
        <v>15</v>
      </c>
      <c r="G38" s="28" t="s">
        <v>251</v>
      </c>
      <c r="H38" s="29">
        <f t="shared" ref="H38" si="14">J38-I38</f>
        <v>0.22222222222222221</v>
      </c>
      <c r="I38" s="30">
        <v>0.54166666666666663</v>
      </c>
      <c r="J38" s="30">
        <v>0.76388888888888884</v>
      </c>
    </row>
    <row r="39" spans="1:10" x14ac:dyDescent="0.2">
      <c r="A39" s="47">
        <v>45765</v>
      </c>
      <c r="B39" s="47" t="s">
        <v>11</v>
      </c>
      <c r="C39" s="48" t="s">
        <v>130</v>
      </c>
      <c r="D39" s="48"/>
      <c r="E39" s="48" t="s">
        <v>90</v>
      </c>
      <c r="F39" s="48" t="s">
        <v>15</v>
      </c>
      <c r="G39" s="49" t="s">
        <v>191</v>
      </c>
      <c r="H39" s="50">
        <f t="shared" si="2"/>
        <v>0.33333333333333331</v>
      </c>
      <c r="I39" s="51">
        <v>0.33333333333333331</v>
      </c>
      <c r="J39" s="51">
        <v>0.66666666666666663</v>
      </c>
    </row>
    <row r="40" spans="1:10" x14ac:dyDescent="0.2">
      <c r="A40" s="31">
        <v>45766</v>
      </c>
      <c r="B40" s="31" t="s">
        <v>14</v>
      </c>
      <c r="C40" s="32"/>
      <c r="D40" s="32"/>
      <c r="E40" s="32"/>
      <c r="F40" s="32"/>
      <c r="G40" s="33"/>
      <c r="H40" s="34">
        <f t="shared" si="2"/>
        <v>0</v>
      </c>
      <c r="I40" s="35"/>
      <c r="J40" s="35"/>
    </row>
    <row r="41" spans="1:10" x14ac:dyDescent="0.2">
      <c r="A41" s="31">
        <v>45767</v>
      </c>
      <c r="B41" s="31" t="s">
        <v>16</v>
      </c>
      <c r="C41" s="32"/>
      <c r="D41" s="32"/>
      <c r="E41" s="32"/>
      <c r="F41" s="32"/>
      <c r="G41" s="33"/>
      <c r="H41" s="34">
        <f t="shared" si="2"/>
        <v>0</v>
      </c>
      <c r="I41" s="35"/>
      <c r="J41" s="35"/>
    </row>
    <row r="42" spans="1:10" x14ac:dyDescent="0.2">
      <c r="A42" s="47">
        <v>45768</v>
      </c>
      <c r="B42" s="47" t="s">
        <v>17</v>
      </c>
      <c r="C42" s="48" t="s">
        <v>130</v>
      </c>
      <c r="D42" s="48"/>
      <c r="E42" s="48" t="s">
        <v>90</v>
      </c>
      <c r="F42" s="48" t="s">
        <v>15</v>
      </c>
      <c r="G42" s="49" t="s">
        <v>192</v>
      </c>
      <c r="H42" s="50">
        <f t="shared" si="2"/>
        <v>0.33333333333333331</v>
      </c>
      <c r="I42" s="51">
        <v>0.33333333333333331</v>
      </c>
      <c r="J42" s="51">
        <v>0.66666666666666663</v>
      </c>
    </row>
    <row r="43" spans="1:10" ht="63" x14ac:dyDescent="0.2">
      <c r="A43" s="22">
        <v>45769</v>
      </c>
      <c r="B43" s="22" t="s">
        <v>18</v>
      </c>
      <c r="C43" s="27" t="s">
        <v>130</v>
      </c>
      <c r="D43" s="27" t="s">
        <v>223</v>
      </c>
      <c r="E43" s="27" t="s">
        <v>62</v>
      </c>
      <c r="F43" s="27" t="s">
        <v>15</v>
      </c>
      <c r="G43" s="28" t="s">
        <v>248</v>
      </c>
      <c r="H43" s="29">
        <f t="shared" si="2"/>
        <v>0.16666666666666669</v>
      </c>
      <c r="I43" s="30">
        <v>0.33333333333333331</v>
      </c>
      <c r="J43" s="30">
        <v>0.5</v>
      </c>
    </row>
    <row r="44" spans="1:10" ht="63" x14ac:dyDescent="0.2">
      <c r="A44" s="22">
        <v>45769</v>
      </c>
      <c r="B44" s="22" t="s">
        <v>18</v>
      </c>
      <c r="C44" s="27" t="s">
        <v>130</v>
      </c>
      <c r="D44" s="27" t="s">
        <v>223</v>
      </c>
      <c r="E44" s="27" t="s">
        <v>62</v>
      </c>
      <c r="F44" s="27" t="s">
        <v>15</v>
      </c>
      <c r="G44" s="28" t="s">
        <v>252</v>
      </c>
      <c r="H44" s="29">
        <f t="shared" ref="H44" si="15">J44-I44</f>
        <v>0.19166666666666665</v>
      </c>
      <c r="I44" s="30">
        <v>0.54166666666666663</v>
      </c>
      <c r="J44" s="30">
        <v>0.73333333333333328</v>
      </c>
    </row>
    <row r="45" spans="1:10" ht="113.4" x14ac:dyDescent="0.2">
      <c r="A45" s="22">
        <v>45770</v>
      </c>
      <c r="B45" s="22" t="s">
        <v>19</v>
      </c>
      <c r="C45" s="27" t="s">
        <v>130</v>
      </c>
      <c r="D45" s="27" t="s">
        <v>223</v>
      </c>
      <c r="E45" s="27" t="s">
        <v>62</v>
      </c>
      <c r="F45" s="27" t="s">
        <v>15</v>
      </c>
      <c r="G45" s="28" t="s">
        <v>249</v>
      </c>
      <c r="H45" s="29">
        <f t="shared" si="2"/>
        <v>0.21527777777777785</v>
      </c>
      <c r="I45" s="30">
        <v>0.33333333333333331</v>
      </c>
      <c r="J45" s="30">
        <v>0.54861111111111116</v>
      </c>
    </row>
    <row r="46" spans="1:10" ht="100.8" x14ac:dyDescent="0.2">
      <c r="A46" s="22">
        <v>45770</v>
      </c>
      <c r="B46" s="22" t="s">
        <v>19</v>
      </c>
      <c r="C46" s="27" t="s">
        <v>130</v>
      </c>
      <c r="D46" s="27" t="s">
        <v>223</v>
      </c>
      <c r="E46" s="27" t="s">
        <v>62</v>
      </c>
      <c r="F46" s="27" t="s">
        <v>15</v>
      </c>
      <c r="G46" s="28" t="s">
        <v>250</v>
      </c>
      <c r="H46" s="29">
        <f t="shared" ref="H46" si="16">J46-I46</f>
        <v>0.12222222222222223</v>
      </c>
      <c r="I46" s="30">
        <v>0.59027777777777779</v>
      </c>
      <c r="J46" s="30">
        <v>0.71250000000000002</v>
      </c>
    </row>
    <row r="47" spans="1:10" ht="63" x14ac:dyDescent="0.2">
      <c r="A47" s="22">
        <v>45771</v>
      </c>
      <c r="B47" s="22" t="s">
        <v>20</v>
      </c>
      <c r="C47" s="27" t="s">
        <v>130</v>
      </c>
      <c r="D47" s="27" t="s">
        <v>223</v>
      </c>
      <c r="E47" s="27" t="s">
        <v>62</v>
      </c>
      <c r="F47" s="27" t="s">
        <v>15</v>
      </c>
      <c r="G47" s="28" t="s">
        <v>248</v>
      </c>
      <c r="H47" s="29">
        <f t="shared" si="2"/>
        <v>0.16666666666666669</v>
      </c>
      <c r="I47" s="30">
        <v>0.33333333333333331</v>
      </c>
      <c r="J47" s="30">
        <v>0.5</v>
      </c>
    </row>
    <row r="48" spans="1:10" ht="50.4" x14ac:dyDescent="0.2">
      <c r="A48" s="22">
        <v>45771</v>
      </c>
      <c r="B48" s="22" t="s">
        <v>20</v>
      </c>
      <c r="C48" s="27" t="s">
        <v>130</v>
      </c>
      <c r="D48" s="27" t="s">
        <v>223</v>
      </c>
      <c r="E48" s="27" t="s">
        <v>62</v>
      </c>
      <c r="F48" s="27" t="s">
        <v>15</v>
      </c>
      <c r="G48" s="28" t="s">
        <v>253</v>
      </c>
      <c r="H48" s="29">
        <f t="shared" ref="H48" si="17">J48-I48</f>
        <v>0.20069444444444451</v>
      </c>
      <c r="I48" s="30">
        <v>0.54166666666666663</v>
      </c>
      <c r="J48" s="30">
        <v>0.74236111111111114</v>
      </c>
    </row>
    <row r="49" spans="1:10" ht="75.599999999999994" x14ac:dyDescent="0.2">
      <c r="A49" s="22">
        <v>45772</v>
      </c>
      <c r="B49" s="22" t="s">
        <v>11</v>
      </c>
      <c r="C49" s="27" t="s">
        <v>130</v>
      </c>
      <c r="D49" s="27" t="s">
        <v>223</v>
      </c>
      <c r="E49" s="27" t="s">
        <v>62</v>
      </c>
      <c r="F49" s="27" t="s">
        <v>15</v>
      </c>
      <c r="G49" s="28" t="s">
        <v>254</v>
      </c>
      <c r="H49" s="29">
        <f t="shared" si="2"/>
        <v>0.16666666666666669</v>
      </c>
      <c r="I49" s="30">
        <v>0.33333333333333331</v>
      </c>
      <c r="J49" s="30">
        <v>0.5</v>
      </c>
    </row>
    <row r="50" spans="1:10" ht="50.4" x14ac:dyDescent="0.2">
      <c r="A50" s="22">
        <v>45772</v>
      </c>
      <c r="B50" s="22" t="s">
        <v>11</v>
      </c>
      <c r="C50" s="27" t="s">
        <v>130</v>
      </c>
      <c r="D50" s="27" t="s">
        <v>223</v>
      </c>
      <c r="E50" s="27" t="s">
        <v>62</v>
      </c>
      <c r="F50" s="27" t="s">
        <v>15</v>
      </c>
      <c r="G50" s="28" t="s">
        <v>255</v>
      </c>
      <c r="H50" s="29">
        <f t="shared" ref="H50" si="18">J50-I50</f>
        <v>0.20972222222222225</v>
      </c>
      <c r="I50" s="30">
        <v>0.54166666666666663</v>
      </c>
      <c r="J50" s="30">
        <v>0.75138888888888888</v>
      </c>
    </row>
    <row r="51" spans="1:10" x14ac:dyDescent="0.2">
      <c r="A51" s="31">
        <v>45773</v>
      </c>
      <c r="B51" s="31" t="s">
        <v>14</v>
      </c>
      <c r="C51" s="32"/>
      <c r="D51" s="32"/>
      <c r="E51" s="32"/>
      <c r="F51" s="32"/>
      <c r="G51" s="33"/>
      <c r="H51" s="34">
        <f t="shared" si="2"/>
        <v>0</v>
      </c>
      <c r="I51" s="35"/>
      <c r="J51" s="35"/>
    </row>
    <row r="52" spans="1:10" x14ac:dyDescent="0.2">
      <c r="A52" s="31">
        <v>45774</v>
      </c>
      <c r="B52" s="31" t="s">
        <v>16</v>
      </c>
      <c r="C52" s="32"/>
      <c r="D52" s="32"/>
      <c r="E52" s="32"/>
      <c r="F52" s="32"/>
      <c r="G52" s="33" t="s">
        <v>194</v>
      </c>
      <c r="H52" s="34">
        <f t="shared" si="2"/>
        <v>0</v>
      </c>
      <c r="I52" s="35"/>
      <c r="J52" s="35"/>
    </row>
    <row r="53" spans="1:10" x14ac:dyDescent="0.2">
      <c r="A53" s="47">
        <v>45775</v>
      </c>
      <c r="B53" s="47" t="s">
        <v>17</v>
      </c>
      <c r="C53" s="48" t="s">
        <v>130</v>
      </c>
      <c r="D53" s="48"/>
      <c r="E53" s="48" t="s">
        <v>90</v>
      </c>
      <c r="F53" s="48" t="s">
        <v>15</v>
      </c>
      <c r="G53" s="49" t="s">
        <v>193</v>
      </c>
      <c r="H53" s="50">
        <f t="shared" si="2"/>
        <v>0.33333333333333331</v>
      </c>
      <c r="I53" s="51">
        <v>0.33333333333333331</v>
      </c>
      <c r="J53" s="51">
        <v>0.66666666666666663</v>
      </c>
    </row>
    <row r="54" spans="1:10" ht="75.599999999999994" x14ac:dyDescent="0.2">
      <c r="A54" s="22">
        <v>45776</v>
      </c>
      <c r="B54" s="22" t="s">
        <v>18</v>
      </c>
      <c r="C54" s="27" t="s">
        <v>130</v>
      </c>
      <c r="D54" s="27" t="s">
        <v>223</v>
      </c>
      <c r="E54" s="27" t="s">
        <v>62</v>
      </c>
      <c r="F54" s="27" t="s">
        <v>15</v>
      </c>
      <c r="G54" s="28" t="s">
        <v>256</v>
      </c>
      <c r="H54" s="29">
        <f t="shared" si="2"/>
        <v>0.16666666666666669</v>
      </c>
      <c r="I54" s="30">
        <v>0.33333333333333331</v>
      </c>
      <c r="J54" s="30">
        <v>0.5</v>
      </c>
    </row>
    <row r="55" spans="1:10" ht="50.4" x14ac:dyDescent="0.2">
      <c r="A55" s="22">
        <v>45776</v>
      </c>
      <c r="B55" s="22" t="s">
        <v>18</v>
      </c>
      <c r="C55" s="27" t="s">
        <v>130</v>
      </c>
      <c r="D55" s="27" t="s">
        <v>223</v>
      </c>
      <c r="E55" s="27" t="s">
        <v>62</v>
      </c>
      <c r="F55" s="27" t="s">
        <v>15</v>
      </c>
      <c r="G55" s="28" t="s">
        <v>257</v>
      </c>
      <c r="H55" s="29">
        <f t="shared" ref="H55" si="19">J55-I55</f>
        <v>0.21111111111111114</v>
      </c>
      <c r="I55" s="30">
        <v>0.54166666666666663</v>
      </c>
      <c r="J55" s="30">
        <v>0.75277777777777777</v>
      </c>
    </row>
    <row r="56" spans="1:10" ht="63" x14ac:dyDescent="0.2">
      <c r="A56" s="22">
        <v>45777</v>
      </c>
      <c r="B56" s="22" t="s">
        <v>19</v>
      </c>
      <c r="C56" s="27" t="s">
        <v>130</v>
      </c>
      <c r="D56" s="27" t="s">
        <v>223</v>
      </c>
      <c r="E56" s="27" t="s">
        <v>62</v>
      </c>
      <c r="F56" s="27" t="s">
        <v>15</v>
      </c>
      <c r="G56" s="28" t="s">
        <v>258</v>
      </c>
      <c r="H56" s="29">
        <f t="shared" si="2"/>
        <v>0.16666666666666669</v>
      </c>
      <c r="I56" s="30">
        <v>0.33333333333333331</v>
      </c>
      <c r="J56" s="30">
        <v>0.5</v>
      </c>
    </row>
    <row r="57" spans="1:10" ht="113.4" x14ac:dyDescent="0.2">
      <c r="A57" s="22">
        <v>45777</v>
      </c>
      <c r="B57" s="22" t="s">
        <v>19</v>
      </c>
      <c r="C57" s="27" t="s">
        <v>130</v>
      </c>
      <c r="D57" s="27" t="s">
        <v>223</v>
      </c>
      <c r="E57" s="27" t="s">
        <v>62</v>
      </c>
      <c r="F57" s="27" t="s">
        <v>15</v>
      </c>
      <c r="G57" s="28" t="s">
        <v>259</v>
      </c>
      <c r="H57" s="29">
        <f t="shared" ref="H57" si="20">J57-I57</f>
        <v>0.1875</v>
      </c>
      <c r="I57" s="30">
        <v>0.54166666666666663</v>
      </c>
      <c r="J57" s="30">
        <v>0.72916666666666663</v>
      </c>
    </row>
    <row r="58" spans="1:10" ht="13.95" customHeight="1" thickBot="1" x14ac:dyDescent="0.25">
      <c r="A58" s="46"/>
      <c r="B58" s="46"/>
      <c r="G58" s="40"/>
      <c r="H58" s="66"/>
      <c r="I58" s="67"/>
      <c r="J58" s="67"/>
    </row>
    <row r="59" spans="1:10" ht="13.95" customHeight="1" x14ac:dyDescent="0.25">
      <c r="A59" s="4"/>
      <c r="B59" s="4"/>
      <c r="C59" s="5"/>
      <c r="D59" s="6"/>
      <c r="E59" s="7" t="s">
        <v>21</v>
      </c>
      <c r="F59" s="8">
        <v>152</v>
      </c>
      <c r="H59" s="40"/>
    </row>
    <row r="60" spans="1:10" ht="13.95" customHeight="1" thickBot="1" x14ac:dyDescent="0.3">
      <c r="A60" s="4"/>
      <c r="B60" s="4"/>
      <c r="C60" s="9"/>
      <c r="D60" s="2"/>
      <c r="E60" s="10" t="s">
        <v>22</v>
      </c>
      <c r="F60" s="11">
        <v>19</v>
      </c>
      <c r="H60" s="40"/>
    </row>
    <row r="61" spans="1:10" ht="13.95" customHeight="1" thickBot="1" x14ac:dyDescent="0.3">
      <c r="A61" s="119" t="s">
        <v>23</v>
      </c>
      <c r="B61" s="119"/>
      <c r="C61" s="119"/>
      <c r="D61" s="12"/>
      <c r="E61" s="2"/>
      <c r="F61" s="2"/>
      <c r="H61" s="40"/>
    </row>
    <row r="62" spans="1:10" ht="13.8" x14ac:dyDescent="0.25">
      <c r="A62" s="13"/>
      <c r="B62" s="13"/>
      <c r="C62" s="6"/>
      <c r="D62" s="6"/>
      <c r="E62" s="14" t="s">
        <v>24</v>
      </c>
      <c r="F62" s="15">
        <f>SUMIF(F9:F56,"Billable",H9:H56)</f>
        <v>0</v>
      </c>
      <c r="H62" s="38"/>
    </row>
    <row r="63" spans="1:10" ht="15" customHeight="1" thickBot="1" x14ac:dyDescent="0.3">
      <c r="A63" s="120" t="s">
        <v>25</v>
      </c>
      <c r="B63" s="120"/>
      <c r="C63" s="120"/>
      <c r="D63" s="16"/>
      <c r="E63" s="17" t="s">
        <v>26</v>
      </c>
      <c r="F63" s="18">
        <f>SUMIF(F9:F57,"Non-Billable",H9:H57)</f>
        <v>7.8909722222222225</v>
      </c>
      <c r="H63" s="40"/>
    </row>
    <row r="64" spans="1:10" ht="14.4" thickBot="1" x14ac:dyDescent="0.3">
      <c r="A64" s="2"/>
      <c r="B64" s="2"/>
      <c r="C64" s="2"/>
      <c r="D64" s="2"/>
      <c r="E64" s="19" t="s">
        <v>27</v>
      </c>
      <c r="F64" s="44">
        <f>F62+F63</f>
        <v>7.8909722222222225</v>
      </c>
      <c r="H64" s="40"/>
    </row>
    <row r="65" spans="1:8" ht="13.8" thickBot="1" x14ac:dyDescent="0.3">
      <c r="A65" s="2"/>
      <c r="B65" s="2"/>
      <c r="C65" s="2"/>
      <c r="D65" s="2"/>
      <c r="E65" s="2"/>
      <c r="F65" s="2"/>
      <c r="H65" s="40"/>
    </row>
    <row r="66" spans="1:8" ht="13.8" thickBot="1" x14ac:dyDescent="0.3">
      <c r="A66" s="2"/>
      <c r="B66" s="2"/>
      <c r="C66" s="2"/>
      <c r="D66" s="2"/>
      <c r="E66" s="20" t="s">
        <v>28</v>
      </c>
      <c r="F66" s="21"/>
      <c r="H66" s="40"/>
    </row>
    <row r="67" spans="1:8" ht="13.2" thickBot="1" x14ac:dyDescent="0.25">
      <c r="E67" s="39"/>
      <c r="H67" s="40"/>
    </row>
  </sheetData>
  <mergeCells count="2">
    <mergeCell ref="A61:C61"/>
    <mergeCell ref="A63:C63"/>
  </mergeCells>
  <phoneticPr fontId="10" type="noConversion"/>
  <conditionalFormatting sqref="A6:B6 D7:E7">
    <cfRule type="containsText" dxfId="95" priority="12" operator="containsText" text="Religious Leave">
      <formula>NOT(ISERROR(SEARCH("Religious Leave",A6)))</formula>
    </cfRule>
    <cfRule type="containsText" dxfId="94" priority="13" operator="containsText" text="Birthday Leave">
      <formula>NOT(ISERROR(SEARCH("Birthday Leave",A6)))</formula>
    </cfRule>
    <cfRule type="containsText" dxfId="93" priority="14" operator="containsText" text="Study Leave">
      <formula>NOT(ISERROR(SEARCH("Study Leave",A6)))</formula>
    </cfRule>
    <cfRule type="containsText" dxfId="92" priority="15" operator="containsText" text="Family Responsibility Leave">
      <formula>NOT(ISERROR(SEARCH("Family Responsibility Leave",A6)))</formula>
    </cfRule>
    <cfRule type="containsText" dxfId="91" priority="16" operator="containsText" text="Sick Leave">
      <formula>NOT(ISERROR(SEARCH("Sick Leave",A6)))</formula>
    </cfRule>
    <cfRule type="containsText" dxfId="90" priority="17" operator="containsText" text="Annual Leave">
      <formula>NOT(ISERROR(SEARCH("Annual Leave",A6)))</formula>
    </cfRule>
    <cfRule type="cellIs" dxfId="89" priority="18" operator="equal">
      <formula>"Public Holiday"</formula>
    </cfRule>
  </conditionalFormatting>
  <conditionalFormatting sqref="B8:B67">
    <cfRule type="containsText" dxfId="88" priority="1" operator="containsText" text="Saturday">
      <formula>NOT(ISERROR(SEARCH("Saturday",B8)))</formula>
    </cfRule>
    <cfRule type="containsText" dxfId="87" priority="2" operator="containsText" text="Sunday">
      <formula>NOT(ISERROR(SEARCH("Sunday",B8)))</formula>
    </cfRule>
  </conditionalFormatting>
  <conditionalFormatting sqref="D59:E59 D61:E63 E66">
    <cfRule type="containsText" dxfId="86" priority="3" operator="containsText" text="Religious Leave">
      <formula>NOT(ISERROR(SEARCH("Religious Leave",D59)))</formula>
    </cfRule>
    <cfRule type="containsText" dxfId="85" priority="4" operator="containsText" text="Birthday Leave">
      <formula>NOT(ISERROR(SEARCH("Birthday Leave",D59)))</formula>
    </cfRule>
    <cfRule type="containsText" dxfId="84" priority="5" operator="containsText" text="Study Leave">
      <formula>NOT(ISERROR(SEARCH("Study Leave",D59)))</formula>
    </cfRule>
    <cfRule type="containsText" dxfId="83" priority="6" operator="containsText" text="Family Responsibility Leave">
      <formula>NOT(ISERROR(SEARCH("Family Responsibility Leave",D59)))</formula>
    </cfRule>
    <cfRule type="containsText" dxfId="82" priority="7" operator="containsText" text="Sick Leave">
      <formula>NOT(ISERROR(SEARCH("Sick Leave",D59)))</formula>
    </cfRule>
    <cfRule type="containsText" dxfId="81" priority="8" operator="containsText" text="Annual Leave">
      <formula>NOT(ISERROR(SEARCH("Annual Leave",D59)))</formula>
    </cfRule>
    <cfRule type="cellIs" dxfId="80" priority="9" operator="equal">
      <formula>"Public Holiday"</formula>
    </cfRule>
  </conditionalFormatting>
  <dataValidations count="1">
    <dataValidation type="time" allowBlank="1" showErrorMessage="1" errorTitle="Invalid Time Format" error="Please input a valid time. For e.g. 08:00" sqref="I9:J58"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Key!$K$3:$K$4</xm:f>
          </x14:formula1>
          <xm:sqref>F9:F58</xm:sqref>
        </x14:dataValidation>
        <x14:dataValidation type="list" allowBlank="1" showInputMessage="1" showErrorMessage="1" xr:uid="{2056345A-D817-415C-BFFF-52AAC88A616B}">
          <x14:formula1>
            <xm:f>Key!$B$2:$B$43</xm:f>
          </x14:formula1>
          <xm:sqref>C9:C58</xm:sqref>
        </x14:dataValidation>
        <x14:dataValidation type="list" allowBlank="1" showInputMessage="1" showErrorMessage="1" xr:uid="{8D174978-0CE3-4483-935A-E2D2B6171911}">
          <x14:formula1>
            <xm:f>Key!$F$3:$F$47</xm:f>
          </x14:formula1>
          <xm:sqref>E9:E58</xm:sqref>
        </x14:dataValidation>
        <x14:dataValidation type="list" allowBlank="1" showInputMessage="1" showErrorMessage="1" xr:uid="{C171C48C-979E-452A-9BA2-E995ACE2BE06}">
          <x14:formula1>
            <xm:f>Key!$H$3:$H$76</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69"/>
  <sheetViews>
    <sheetView tabSelected="1" topLeftCell="A56" zoomScale="85" zoomScaleNormal="85" workbookViewId="0">
      <selection activeCell="G66" sqref="G66"/>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94</v>
      </c>
      <c r="B6" s="74">
        <f>F64</f>
        <v>0</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47">
        <v>45778</v>
      </c>
      <c r="B9" s="47" t="s">
        <v>20</v>
      </c>
      <c r="C9" s="48" t="s">
        <v>130</v>
      </c>
      <c r="D9" s="48"/>
      <c r="E9" s="48" t="s">
        <v>90</v>
      </c>
      <c r="F9" s="48" t="s">
        <v>15</v>
      </c>
      <c r="G9" s="49" t="s">
        <v>195</v>
      </c>
      <c r="H9" s="50">
        <f t="shared" ref="H9:H59" si="0">J9-I9</f>
        <v>0.33333333333333331</v>
      </c>
      <c r="I9" s="51">
        <v>0.33333333333333331</v>
      </c>
      <c r="J9" s="51">
        <v>0.66666666666666663</v>
      </c>
    </row>
    <row r="10" spans="1:10" ht="50.4" x14ac:dyDescent="0.2">
      <c r="A10" s="22">
        <v>45779</v>
      </c>
      <c r="B10" s="22" t="s">
        <v>11</v>
      </c>
      <c r="C10" s="27" t="s">
        <v>130</v>
      </c>
      <c r="D10" s="27" t="s">
        <v>223</v>
      </c>
      <c r="E10" s="27" t="s">
        <v>62</v>
      </c>
      <c r="F10" s="27" t="s">
        <v>15</v>
      </c>
      <c r="G10" s="28" t="s">
        <v>260</v>
      </c>
      <c r="H10" s="29">
        <f t="shared" ref="H10" si="1">J10-I10</f>
        <v>0.16666666666666669</v>
      </c>
      <c r="I10" s="30">
        <v>0.33333333333333331</v>
      </c>
      <c r="J10" s="30">
        <v>0.5</v>
      </c>
    </row>
    <row r="11" spans="1:10" ht="50.4" x14ac:dyDescent="0.2">
      <c r="A11" s="22">
        <v>45779</v>
      </c>
      <c r="B11" s="22" t="s">
        <v>11</v>
      </c>
      <c r="C11" s="27" t="s">
        <v>130</v>
      </c>
      <c r="D11" s="27" t="s">
        <v>223</v>
      </c>
      <c r="E11" s="27" t="s">
        <v>62</v>
      </c>
      <c r="F11" s="27" t="s">
        <v>15</v>
      </c>
      <c r="G11" s="28" t="s">
        <v>261</v>
      </c>
      <c r="H11" s="29">
        <f t="shared" ref="H11" si="2">J11-I11</f>
        <v>0.16666666666666674</v>
      </c>
      <c r="I11" s="30">
        <v>0.54166666666666663</v>
      </c>
      <c r="J11" s="30">
        <v>0.70833333333333337</v>
      </c>
    </row>
    <row r="12" spans="1:10" x14ac:dyDescent="0.2">
      <c r="A12" s="31">
        <v>45780</v>
      </c>
      <c r="B12" s="31" t="s">
        <v>14</v>
      </c>
      <c r="C12" s="32"/>
      <c r="D12" s="32"/>
      <c r="E12" s="32"/>
      <c r="F12" s="32"/>
      <c r="G12" s="33"/>
      <c r="H12" s="34">
        <f>J12-I12</f>
        <v>0</v>
      </c>
      <c r="I12" s="35"/>
      <c r="J12" s="35"/>
    </row>
    <row r="13" spans="1:10" x14ac:dyDescent="0.2">
      <c r="A13" s="31">
        <v>45781</v>
      </c>
      <c r="B13" s="31" t="s">
        <v>16</v>
      </c>
      <c r="C13" s="32"/>
      <c r="D13" s="32"/>
      <c r="E13" s="32"/>
      <c r="F13" s="32"/>
      <c r="G13" s="33"/>
      <c r="H13" s="34">
        <f t="shared" si="0"/>
        <v>0</v>
      </c>
      <c r="I13" s="35"/>
      <c r="J13" s="35"/>
    </row>
    <row r="14" spans="1:10" ht="75.599999999999994" x14ac:dyDescent="0.2">
      <c r="A14" s="22">
        <v>45782</v>
      </c>
      <c r="B14" s="22" t="s">
        <v>17</v>
      </c>
      <c r="C14" s="27" t="s">
        <v>130</v>
      </c>
      <c r="D14" s="27" t="s">
        <v>223</v>
      </c>
      <c r="E14" s="27" t="s">
        <v>62</v>
      </c>
      <c r="F14" s="27" t="s">
        <v>15</v>
      </c>
      <c r="G14" s="28" t="s">
        <v>268</v>
      </c>
      <c r="H14" s="29">
        <f t="shared" si="0"/>
        <v>0.16666666666666669</v>
      </c>
      <c r="I14" s="30">
        <v>0.33333333333333331</v>
      </c>
      <c r="J14" s="30">
        <v>0.5</v>
      </c>
    </row>
    <row r="15" spans="1:10" ht="88.2" x14ac:dyDescent="0.2">
      <c r="A15" s="22">
        <v>45782</v>
      </c>
      <c r="B15" s="22" t="s">
        <v>17</v>
      </c>
      <c r="C15" s="27" t="s">
        <v>130</v>
      </c>
      <c r="D15" s="27" t="s">
        <v>223</v>
      </c>
      <c r="E15" s="27" t="s">
        <v>62</v>
      </c>
      <c r="F15" s="27" t="s">
        <v>15</v>
      </c>
      <c r="G15" s="28" t="s">
        <v>283</v>
      </c>
      <c r="H15" s="29">
        <f t="shared" ref="H15" si="3">J15-I15</f>
        <v>0.17291666666666672</v>
      </c>
      <c r="I15" s="30">
        <v>0.54166666666666663</v>
      </c>
      <c r="J15" s="30">
        <v>0.71458333333333335</v>
      </c>
    </row>
    <row r="16" spans="1:10" ht="50.4" x14ac:dyDescent="0.2">
      <c r="A16" s="22">
        <v>45783</v>
      </c>
      <c r="B16" s="22" t="s">
        <v>18</v>
      </c>
      <c r="C16" s="27" t="s">
        <v>130</v>
      </c>
      <c r="D16" s="27" t="s">
        <v>223</v>
      </c>
      <c r="E16" s="27" t="s">
        <v>62</v>
      </c>
      <c r="F16" s="27" t="s">
        <v>15</v>
      </c>
      <c r="G16" s="28" t="s">
        <v>269</v>
      </c>
      <c r="H16" s="29">
        <f t="shared" si="0"/>
        <v>0.16666666666666669</v>
      </c>
      <c r="I16" s="30">
        <v>0.33333333333333331</v>
      </c>
      <c r="J16" s="30">
        <v>0.5</v>
      </c>
    </row>
    <row r="17" spans="1:10" ht="50.4" x14ac:dyDescent="0.2">
      <c r="A17" s="22">
        <v>45783</v>
      </c>
      <c r="B17" s="22" t="s">
        <v>18</v>
      </c>
      <c r="C17" s="27" t="s">
        <v>130</v>
      </c>
      <c r="D17" s="27" t="s">
        <v>223</v>
      </c>
      <c r="E17" s="27" t="s">
        <v>62</v>
      </c>
      <c r="F17" s="27" t="s">
        <v>15</v>
      </c>
      <c r="G17" s="28" t="s">
        <v>270</v>
      </c>
      <c r="H17" s="29">
        <f t="shared" ref="H17" si="4">J17-I17</f>
        <v>0.17083333333333339</v>
      </c>
      <c r="I17" s="30">
        <v>0.54166666666666663</v>
      </c>
      <c r="J17" s="30">
        <v>0.71250000000000002</v>
      </c>
    </row>
    <row r="18" spans="1:10" ht="75.599999999999994" x14ac:dyDescent="0.2">
      <c r="A18" s="22">
        <v>45784</v>
      </c>
      <c r="B18" s="22" t="s">
        <v>19</v>
      </c>
      <c r="C18" s="27" t="s">
        <v>130</v>
      </c>
      <c r="D18" s="27" t="s">
        <v>223</v>
      </c>
      <c r="E18" s="27" t="s">
        <v>62</v>
      </c>
      <c r="F18" s="27" t="s">
        <v>15</v>
      </c>
      <c r="G18" s="28" t="s">
        <v>284</v>
      </c>
      <c r="H18" s="29">
        <f>J18-I18</f>
        <v>0.16666666666666669</v>
      </c>
      <c r="I18" s="30">
        <v>0.33333333333333331</v>
      </c>
      <c r="J18" s="30">
        <v>0.5</v>
      </c>
    </row>
    <row r="19" spans="1:10" ht="63" x14ac:dyDescent="0.2">
      <c r="A19" s="22">
        <v>45784</v>
      </c>
      <c r="B19" s="22" t="s">
        <v>19</v>
      </c>
      <c r="C19" s="27" t="s">
        <v>130</v>
      </c>
      <c r="D19" s="27" t="s">
        <v>223</v>
      </c>
      <c r="E19" s="27" t="s">
        <v>62</v>
      </c>
      <c r="F19" s="27" t="s">
        <v>15</v>
      </c>
      <c r="G19" s="28" t="s">
        <v>285</v>
      </c>
      <c r="H19" s="29">
        <f>J19-I19</f>
        <v>0.1875</v>
      </c>
      <c r="I19" s="30">
        <v>0.54166666666666663</v>
      </c>
      <c r="J19" s="30">
        <v>0.72916666666666663</v>
      </c>
    </row>
    <row r="20" spans="1:10" ht="113.4" x14ac:dyDescent="0.2">
      <c r="A20" s="22">
        <v>45785</v>
      </c>
      <c r="B20" s="22" t="s">
        <v>20</v>
      </c>
      <c r="C20" s="27" t="s">
        <v>130</v>
      </c>
      <c r="D20" s="27" t="s">
        <v>223</v>
      </c>
      <c r="E20" s="27" t="s">
        <v>62</v>
      </c>
      <c r="F20" s="27" t="s">
        <v>15</v>
      </c>
      <c r="G20" s="28" t="s">
        <v>266</v>
      </c>
      <c r="H20" s="29">
        <f t="shared" si="0"/>
        <v>0.16666666666666669</v>
      </c>
      <c r="I20" s="30">
        <v>0.33333333333333331</v>
      </c>
      <c r="J20" s="30">
        <v>0.5</v>
      </c>
    </row>
    <row r="21" spans="1:10" ht="63" x14ac:dyDescent="0.2">
      <c r="A21" s="22">
        <v>45785</v>
      </c>
      <c r="B21" s="22" t="s">
        <v>20</v>
      </c>
      <c r="C21" s="27" t="s">
        <v>130</v>
      </c>
      <c r="D21" s="27" t="s">
        <v>223</v>
      </c>
      <c r="E21" s="27" t="s">
        <v>62</v>
      </c>
      <c r="F21" s="27" t="s">
        <v>15</v>
      </c>
      <c r="G21" s="28" t="s">
        <v>285</v>
      </c>
      <c r="H21" s="29">
        <f t="shared" ref="H21" si="5">J21-I21</f>
        <v>0.16805555555555562</v>
      </c>
      <c r="I21" s="30">
        <v>0.54166666666666663</v>
      </c>
      <c r="J21" s="30">
        <v>0.70972222222222225</v>
      </c>
    </row>
    <row r="22" spans="1:10" ht="63" x14ac:dyDescent="0.2">
      <c r="A22" s="22">
        <v>45786</v>
      </c>
      <c r="B22" s="22" t="s">
        <v>11</v>
      </c>
      <c r="C22" s="27" t="s">
        <v>130</v>
      </c>
      <c r="D22" s="27" t="s">
        <v>223</v>
      </c>
      <c r="E22" s="27" t="s">
        <v>62</v>
      </c>
      <c r="F22" s="27" t="s">
        <v>15</v>
      </c>
      <c r="G22" s="28" t="s">
        <v>267</v>
      </c>
      <c r="H22" s="29">
        <f t="shared" si="0"/>
        <v>0.16666666666666669</v>
      </c>
      <c r="I22" s="30">
        <v>0.33333333333333331</v>
      </c>
      <c r="J22" s="30">
        <v>0.5</v>
      </c>
    </row>
    <row r="23" spans="1:10" ht="63" x14ac:dyDescent="0.2">
      <c r="A23" s="22">
        <v>45786</v>
      </c>
      <c r="B23" s="22" t="s">
        <v>11</v>
      </c>
      <c r="C23" s="27" t="s">
        <v>130</v>
      </c>
      <c r="D23" s="27" t="s">
        <v>223</v>
      </c>
      <c r="E23" s="27" t="s">
        <v>62</v>
      </c>
      <c r="F23" s="27" t="s">
        <v>15</v>
      </c>
      <c r="G23" s="28" t="s">
        <v>271</v>
      </c>
      <c r="H23" s="29">
        <f t="shared" ref="H23" si="6">J23-I23</f>
        <v>0.1875</v>
      </c>
      <c r="I23" s="30">
        <v>0.54166666666666663</v>
      </c>
      <c r="J23" s="30">
        <v>0.72916666666666663</v>
      </c>
    </row>
    <row r="24" spans="1:10" x14ac:dyDescent="0.2">
      <c r="A24" s="31">
        <v>45787</v>
      </c>
      <c r="B24" s="31" t="s">
        <v>14</v>
      </c>
      <c r="C24" s="32"/>
      <c r="D24" s="32"/>
      <c r="E24" s="32"/>
      <c r="F24" s="32"/>
      <c r="G24" s="33"/>
      <c r="H24" s="34">
        <f t="shared" si="0"/>
        <v>0</v>
      </c>
      <c r="I24" s="35"/>
      <c r="J24" s="35"/>
    </row>
    <row r="25" spans="1:10" x14ac:dyDescent="0.2">
      <c r="A25" s="31">
        <v>45788</v>
      </c>
      <c r="B25" s="31" t="s">
        <v>16</v>
      </c>
      <c r="C25" s="32"/>
      <c r="D25" s="32"/>
      <c r="E25" s="32"/>
      <c r="F25" s="32"/>
      <c r="G25" s="33"/>
      <c r="H25" s="34">
        <f t="shared" si="0"/>
        <v>0</v>
      </c>
      <c r="I25" s="35"/>
      <c r="J25" s="35"/>
    </row>
    <row r="26" spans="1:10" ht="88.2" x14ac:dyDescent="0.2">
      <c r="A26" s="22">
        <v>45789</v>
      </c>
      <c r="B26" s="22" t="s">
        <v>17</v>
      </c>
      <c r="C26" s="27" t="s">
        <v>130</v>
      </c>
      <c r="D26" s="27" t="s">
        <v>223</v>
      </c>
      <c r="E26" s="27" t="s">
        <v>62</v>
      </c>
      <c r="F26" s="27" t="s">
        <v>15</v>
      </c>
      <c r="G26" s="28" t="s">
        <v>272</v>
      </c>
      <c r="H26" s="29">
        <f t="shared" si="0"/>
        <v>0.16666666666666669</v>
      </c>
      <c r="I26" s="30">
        <v>0.33333333333333331</v>
      </c>
      <c r="J26" s="30">
        <v>0.5</v>
      </c>
    </row>
    <row r="27" spans="1:10" ht="63" x14ac:dyDescent="0.2">
      <c r="A27" s="22">
        <v>45789</v>
      </c>
      <c r="B27" s="22" t="s">
        <v>17</v>
      </c>
      <c r="C27" s="27" t="s">
        <v>130</v>
      </c>
      <c r="D27" s="27" t="s">
        <v>223</v>
      </c>
      <c r="E27" s="27" t="s">
        <v>62</v>
      </c>
      <c r="F27" s="27" t="s">
        <v>15</v>
      </c>
      <c r="G27" s="28" t="s">
        <v>273</v>
      </c>
      <c r="H27" s="29">
        <f t="shared" ref="H27" si="7">J27-I27</f>
        <v>0.20069444444444451</v>
      </c>
      <c r="I27" s="30">
        <v>0.54166666666666663</v>
      </c>
      <c r="J27" s="30">
        <v>0.74236111111111114</v>
      </c>
    </row>
    <row r="28" spans="1:10" ht="63" x14ac:dyDescent="0.2">
      <c r="A28" s="22">
        <v>45790</v>
      </c>
      <c r="B28" s="22" t="s">
        <v>18</v>
      </c>
      <c r="C28" s="27" t="s">
        <v>130</v>
      </c>
      <c r="D28" s="27" t="s">
        <v>223</v>
      </c>
      <c r="E28" s="27" t="s">
        <v>62</v>
      </c>
      <c r="F28" s="27" t="s">
        <v>15</v>
      </c>
      <c r="G28" s="28" t="s">
        <v>274</v>
      </c>
      <c r="H28" s="29">
        <f t="shared" si="0"/>
        <v>0.16666666666666669</v>
      </c>
      <c r="I28" s="30">
        <v>0.33333333333333331</v>
      </c>
      <c r="J28" s="30">
        <v>0.5</v>
      </c>
    </row>
    <row r="29" spans="1:10" ht="50.4" x14ac:dyDescent="0.2">
      <c r="A29" s="22">
        <v>45790</v>
      </c>
      <c r="B29" s="22" t="s">
        <v>18</v>
      </c>
      <c r="C29" s="27" t="s">
        <v>130</v>
      </c>
      <c r="D29" s="27" t="s">
        <v>223</v>
      </c>
      <c r="E29" s="27" t="s">
        <v>62</v>
      </c>
      <c r="F29" s="27" t="s">
        <v>15</v>
      </c>
      <c r="G29" s="28" t="s">
        <v>275</v>
      </c>
      <c r="H29" s="29">
        <f t="shared" ref="H29" si="8">J29-I29</f>
        <v>0.20208333333333339</v>
      </c>
      <c r="I29" s="30">
        <v>0.54166666666666663</v>
      </c>
      <c r="J29" s="30">
        <v>0.74375000000000002</v>
      </c>
    </row>
    <row r="30" spans="1:10" ht="50.4" x14ac:dyDescent="0.2">
      <c r="A30" s="22">
        <v>45791</v>
      </c>
      <c r="B30" s="22" t="s">
        <v>19</v>
      </c>
      <c r="C30" s="27" t="s">
        <v>130</v>
      </c>
      <c r="D30" s="27" t="s">
        <v>223</v>
      </c>
      <c r="E30" s="27" t="s">
        <v>62</v>
      </c>
      <c r="F30" s="27" t="s">
        <v>15</v>
      </c>
      <c r="G30" s="28" t="s">
        <v>286</v>
      </c>
      <c r="H30" s="29">
        <f t="shared" si="0"/>
        <v>0.16666666666666669</v>
      </c>
      <c r="I30" s="30">
        <v>0.33333333333333331</v>
      </c>
      <c r="J30" s="30">
        <v>0.5</v>
      </c>
    </row>
    <row r="31" spans="1:10" ht="50.4" x14ac:dyDescent="0.2">
      <c r="A31" s="22">
        <v>45791</v>
      </c>
      <c r="B31" s="22" t="s">
        <v>19</v>
      </c>
      <c r="C31" s="27" t="s">
        <v>130</v>
      </c>
      <c r="D31" s="27" t="s">
        <v>223</v>
      </c>
      <c r="E31" s="27" t="s">
        <v>62</v>
      </c>
      <c r="F31" s="27" t="s">
        <v>15</v>
      </c>
      <c r="G31" s="28" t="s">
        <v>275</v>
      </c>
      <c r="H31" s="29">
        <f t="shared" ref="H31" si="9">J31-I31</f>
        <v>0.20347222222222228</v>
      </c>
      <c r="I31" s="30">
        <v>0.54166666666666663</v>
      </c>
      <c r="J31" s="30">
        <v>0.74513888888888891</v>
      </c>
    </row>
    <row r="32" spans="1:10" x14ac:dyDescent="0.2">
      <c r="A32" s="22">
        <v>45792</v>
      </c>
      <c r="B32" s="22" t="s">
        <v>20</v>
      </c>
      <c r="C32" s="27" t="s">
        <v>130</v>
      </c>
      <c r="D32" s="27" t="s">
        <v>223</v>
      </c>
      <c r="E32" s="27" t="s">
        <v>82</v>
      </c>
      <c r="F32" s="27" t="s">
        <v>15</v>
      </c>
      <c r="G32" s="28" t="s">
        <v>276</v>
      </c>
      <c r="H32" s="29">
        <f t="shared" si="0"/>
        <v>0.33333333333333331</v>
      </c>
      <c r="I32" s="30">
        <v>0.33333333333333331</v>
      </c>
      <c r="J32" s="30">
        <v>0.66666666666666663</v>
      </c>
    </row>
    <row r="33" spans="1:10" ht="50.4" x14ac:dyDescent="0.2">
      <c r="A33" s="22">
        <v>45793</v>
      </c>
      <c r="B33" s="22" t="s">
        <v>11</v>
      </c>
      <c r="C33" s="27" t="s">
        <v>130</v>
      </c>
      <c r="D33" s="27" t="s">
        <v>223</v>
      </c>
      <c r="E33" s="27" t="s">
        <v>62</v>
      </c>
      <c r="F33" s="27" t="s">
        <v>15</v>
      </c>
      <c r="G33" s="28" t="s">
        <v>287</v>
      </c>
      <c r="H33" s="29">
        <f t="shared" si="0"/>
        <v>0.16666666666666669</v>
      </c>
      <c r="I33" s="30">
        <v>0.33333333333333331</v>
      </c>
      <c r="J33" s="30">
        <v>0.5</v>
      </c>
    </row>
    <row r="34" spans="1:10" ht="50.4" x14ac:dyDescent="0.2">
      <c r="A34" s="22">
        <v>45793</v>
      </c>
      <c r="B34" s="22" t="s">
        <v>11</v>
      </c>
      <c r="C34" s="27" t="s">
        <v>130</v>
      </c>
      <c r="D34" s="27" t="s">
        <v>223</v>
      </c>
      <c r="E34" s="27" t="s">
        <v>62</v>
      </c>
      <c r="F34" s="27" t="s">
        <v>15</v>
      </c>
      <c r="G34" s="28" t="s">
        <v>278</v>
      </c>
      <c r="H34" s="29">
        <f t="shared" ref="H34" si="10">J34-I34</f>
        <v>0.16666666666666674</v>
      </c>
      <c r="I34" s="30">
        <v>0.54166666666666663</v>
      </c>
      <c r="J34" s="30">
        <v>0.70833333333333337</v>
      </c>
    </row>
    <row r="35" spans="1:10" x14ac:dyDescent="0.2">
      <c r="A35" s="31">
        <v>45794</v>
      </c>
      <c r="B35" s="31" t="s">
        <v>14</v>
      </c>
      <c r="C35" s="32"/>
      <c r="D35" s="32"/>
      <c r="E35" s="32"/>
      <c r="F35" s="32"/>
      <c r="G35" s="33"/>
      <c r="H35" s="34">
        <f t="shared" si="0"/>
        <v>0</v>
      </c>
      <c r="I35" s="35"/>
      <c r="J35" s="35"/>
    </row>
    <row r="36" spans="1:10" x14ac:dyDescent="0.2">
      <c r="A36" s="31">
        <v>45795</v>
      </c>
      <c r="B36" s="31" t="s">
        <v>16</v>
      </c>
      <c r="C36" s="32"/>
      <c r="D36" s="32"/>
      <c r="E36" s="32"/>
      <c r="F36" s="32"/>
      <c r="G36" s="33"/>
      <c r="H36" s="34">
        <f t="shared" si="0"/>
        <v>0</v>
      </c>
      <c r="I36" s="35"/>
      <c r="J36" s="35"/>
    </row>
    <row r="37" spans="1:10" ht="50.4" x14ac:dyDescent="0.2">
      <c r="A37" s="22">
        <v>45796</v>
      </c>
      <c r="B37" s="22" t="s">
        <v>17</v>
      </c>
      <c r="C37" s="27" t="s">
        <v>130</v>
      </c>
      <c r="D37" s="27" t="s">
        <v>223</v>
      </c>
      <c r="E37" s="27" t="s">
        <v>62</v>
      </c>
      <c r="F37" s="27" t="s">
        <v>15</v>
      </c>
      <c r="G37" s="28" t="s">
        <v>277</v>
      </c>
      <c r="H37" s="29">
        <f t="shared" si="0"/>
        <v>0.16666666666666669</v>
      </c>
      <c r="I37" s="30">
        <v>0.33333333333333331</v>
      </c>
      <c r="J37" s="30">
        <v>0.5</v>
      </c>
    </row>
    <row r="38" spans="1:10" ht="63" x14ac:dyDescent="0.2">
      <c r="A38" s="22">
        <v>45796</v>
      </c>
      <c r="B38" s="22" t="s">
        <v>17</v>
      </c>
      <c r="C38" s="27" t="s">
        <v>130</v>
      </c>
      <c r="D38" s="27" t="s">
        <v>223</v>
      </c>
      <c r="E38" s="27" t="s">
        <v>62</v>
      </c>
      <c r="F38" s="27" t="s">
        <v>15</v>
      </c>
      <c r="G38" s="28" t="s">
        <v>279</v>
      </c>
      <c r="H38" s="29">
        <f t="shared" ref="H38" si="11">J38-I38</f>
        <v>0.18194444444444446</v>
      </c>
      <c r="I38" s="30">
        <v>0.54166666666666663</v>
      </c>
      <c r="J38" s="30">
        <v>0.72361111111111109</v>
      </c>
    </row>
    <row r="39" spans="1:10" ht="63" x14ac:dyDescent="0.2">
      <c r="A39" s="22">
        <v>45797</v>
      </c>
      <c r="B39" s="22" t="s">
        <v>18</v>
      </c>
      <c r="C39" s="27" t="s">
        <v>130</v>
      </c>
      <c r="D39" s="27" t="s">
        <v>223</v>
      </c>
      <c r="E39" s="27" t="s">
        <v>62</v>
      </c>
      <c r="F39" s="27" t="s">
        <v>15</v>
      </c>
      <c r="G39" s="28" t="s">
        <v>281</v>
      </c>
      <c r="H39" s="29">
        <f t="shared" si="0"/>
        <v>0.16666666666666669</v>
      </c>
      <c r="I39" s="30">
        <v>0.33333333333333331</v>
      </c>
      <c r="J39" s="30">
        <v>0.5</v>
      </c>
    </row>
    <row r="40" spans="1:10" ht="50.4" x14ac:dyDescent="0.2">
      <c r="A40" s="22">
        <v>45797</v>
      </c>
      <c r="B40" s="22" t="s">
        <v>18</v>
      </c>
      <c r="C40" s="27" t="s">
        <v>130</v>
      </c>
      <c r="D40" s="27" t="s">
        <v>223</v>
      </c>
      <c r="E40" s="27" t="s">
        <v>62</v>
      </c>
      <c r="F40" s="27" t="s">
        <v>15</v>
      </c>
      <c r="G40" s="28" t="s">
        <v>280</v>
      </c>
      <c r="H40" s="29">
        <f t="shared" ref="H40" si="12">J40-I40</f>
        <v>0.1972222222222223</v>
      </c>
      <c r="I40" s="30">
        <v>0.54166666666666663</v>
      </c>
      <c r="J40" s="30">
        <v>0.73888888888888893</v>
      </c>
    </row>
    <row r="41" spans="1:10" ht="63" x14ac:dyDescent="0.2">
      <c r="A41" s="22">
        <v>45798</v>
      </c>
      <c r="B41" s="22" t="s">
        <v>19</v>
      </c>
      <c r="C41" s="27" t="s">
        <v>130</v>
      </c>
      <c r="D41" s="27" t="s">
        <v>223</v>
      </c>
      <c r="E41" s="27" t="s">
        <v>62</v>
      </c>
      <c r="F41" s="27" t="s">
        <v>15</v>
      </c>
      <c r="G41" s="28" t="s">
        <v>281</v>
      </c>
      <c r="H41" s="29">
        <f t="shared" si="0"/>
        <v>0.16666666666666669</v>
      </c>
      <c r="I41" s="30">
        <v>0.33333333333333331</v>
      </c>
      <c r="J41" s="30">
        <v>0.5</v>
      </c>
    </row>
    <row r="42" spans="1:10" ht="50.4" x14ac:dyDescent="0.2">
      <c r="A42" s="22">
        <v>45798</v>
      </c>
      <c r="B42" s="22" t="s">
        <v>19</v>
      </c>
      <c r="C42" s="27" t="s">
        <v>130</v>
      </c>
      <c r="D42" s="27" t="s">
        <v>223</v>
      </c>
      <c r="E42" s="27" t="s">
        <v>62</v>
      </c>
      <c r="F42" s="27" t="s">
        <v>15</v>
      </c>
      <c r="G42" s="28" t="s">
        <v>280</v>
      </c>
      <c r="H42" s="29">
        <f t="shared" ref="H42" si="13">J42-I42</f>
        <v>0.21527777777777779</v>
      </c>
      <c r="I42" s="30">
        <v>0.54166666666666663</v>
      </c>
      <c r="J42" s="30">
        <v>0.75694444444444442</v>
      </c>
    </row>
    <row r="43" spans="1:10" ht="63" x14ac:dyDescent="0.2">
      <c r="A43" s="22">
        <v>45799</v>
      </c>
      <c r="B43" s="22" t="s">
        <v>20</v>
      </c>
      <c r="C43" s="27" t="s">
        <v>130</v>
      </c>
      <c r="D43" s="27" t="s">
        <v>223</v>
      </c>
      <c r="E43" s="27" t="s">
        <v>62</v>
      </c>
      <c r="F43" s="27" t="s">
        <v>15</v>
      </c>
      <c r="G43" s="28" t="s">
        <v>281</v>
      </c>
      <c r="H43" s="29">
        <f t="shared" si="0"/>
        <v>0.16666666666666669</v>
      </c>
      <c r="I43" s="30">
        <v>0.33333333333333331</v>
      </c>
      <c r="J43" s="30">
        <v>0.5</v>
      </c>
    </row>
    <row r="44" spans="1:10" ht="50.4" x14ac:dyDescent="0.2">
      <c r="A44" s="22">
        <v>45799</v>
      </c>
      <c r="B44" s="22" t="s">
        <v>20</v>
      </c>
      <c r="C44" s="27" t="s">
        <v>130</v>
      </c>
      <c r="D44" s="27" t="s">
        <v>223</v>
      </c>
      <c r="E44" s="27" t="s">
        <v>62</v>
      </c>
      <c r="F44" s="27" t="s">
        <v>15</v>
      </c>
      <c r="G44" s="28" t="s">
        <v>280</v>
      </c>
      <c r="H44" s="29">
        <f t="shared" ref="H44" si="14">J44-I44</f>
        <v>0.1972222222222223</v>
      </c>
      <c r="I44" s="30">
        <v>0.54166666666666663</v>
      </c>
      <c r="J44" s="30">
        <v>0.73888888888888893</v>
      </c>
    </row>
    <row r="45" spans="1:10" ht="50.4" x14ac:dyDescent="0.2">
      <c r="A45" s="22">
        <v>45800</v>
      </c>
      <c r="B45" s="22" t="s">
        <v>11</v>
      </c>
      <c r="C45" s="27" t="s">
        <v>130</v>
      </c>
      <c r="D45" s="27" t="s">
        <v>223</v>
      </c>
      <c r="E45" s="27" t="s">
        <v>62</v>
      </c>
      <c r="F45" s="27" t="s">
        <v>15</v>
      </c>
      <c r="G45" s="28" t="s">
        <v>282</v>
      </c>
      <c r="H45" s="29">
        <f t="shared" si="0"/>
        <v>0.16666666666666669</v>
      </c>
      <c r="I45" s="30">
        <v>0.33333333333333331</v>
      </c>
      <c r="J45" s="30">
        <v>0.5</v>
      </c>
    </row>
    <row r="46" spans="1:10" ht="50.4" x14ac:dyDescent="0.2">
      <c r="A46" s="22">
        <v>45800</v>
      </c>
      <c r="B46" s="22" t="s">
        <v>11</v>
      </c>
      <c r="C46" s="27" t="s">
        <v>130</v>
      </c>
      <c r="D46" s="27" t="s">
        <v>223</v>
      </c>
      <c r="E46" s="27" t="s">
        <v>62</v>
      </c>
      <c r="F46" s="27" t="s">
        <v>15</v>
      </c>
      <c r="G46" s="28" t="s">
        <v>288</v>
      </c>
      <c r="H46" s="29">
        <f t="shared" ref="H46" si="15">J46-I46</f>
        <v>0.1875</v>
      </c>
      <c r="I46" s="30">
        <v>0.54166666666666663</v>
      </c>
      <c r="J46" s="30">
        <v>0.72916666666666663</v>
      </c>
    </row>
    <row r="47" spans="1:10" x14ac:dyDescent="0.2">
      <c r="A47" s="31">
        <v>45801</v>
      </c>
      <c r="B47" s="31" t="s">
        <v>14</v>
      </c>
      <c r="C47" s="32"/>
      <c r="D47" s="32"/>
      <c r="E47" s="32"/>
      <c r="F47" s="32"/>
      <c r="G47" s="33"/>
      <c r="H47" s="34">
        <f t="shared" si="0"/>
        <v>0</v>
      </c>
      <c r="I47" s="35"/>
      <c r="J47" s="35"/>
    </row>
    <row r="48" spans="1:10" x14ac:dyDescent="0.2">
      <c r="A48" s="31">
        <v>45802</v>
      </c>
      <c r="B48" s="31" t="s">
        <v>16</v>
      </c>
      <c r="C48" s="32"/>
      <c r="D48" s="32"/>
      <c r="E48" s="32"/>
      <c r="F48" s="32"/>
      <c r="G48" s="33"/>
      <c r="H48" s="34">
        <f t="shared" si="0"/>
        <v>0</v>
      </c>
      <c r="I48" s="35"/>
      <c r="J48" s="35"/>
    </row>
    <row r="49" spans="1:10" ht="50.4" x14ac:dyDescent="0.2">
      <c r="A49" s="22">
        <v>45803</v>
      </c>
      <c r="B49" s="22" t="s">
        <v>17</v>
      </c>
      <c r="C49" s="27" t="s">
        <v>130</v>
      </c>
      <c r="D49" s="27" t="s">
        <v>223</v>
      </c>
      <c r="E49" s="27" t="s">
        <v>62</v>
      </c>
      <c r="F49" s="27" t="s">
        <v>15</v>
      </c>
      <c r="G49" s="28" t="s">
        <v>289</v>
      </c>
      <c r="H49" s="29">
        <f t="shared" si="0"/>
        <v>0.16666666666666669</v>
      </c>
      <c r="I49" s="30">
        <v>0.33333333333333331</v>
      </c>
      <c r="J49" s="30">
        <v>0.5</v>
      </c>
    </row>
    <row r="50" spans="1:10" ht="50.4" x14ac:dyDescent="0.2">
      <c r="A50" s="22">
        <v>45803</v>
      </c>
      <c r="B50" s="22" t="s">
        <v>17</v>
      </c>
      <c r="C50" s="27" t="s">
        <v>130</v>
      </c>
      <c r="D50" s="27" t="s">
        <v>223</v>
      </c>
      <c r="E50" s="27" t="s">
        <v>62</v>
      </c>
      <c r="F50" s="27" t="s">
        <v>15</v>
      </c>
      <c r="G50" s="28" t="s">
        <v>290</v>
      </c>
      <c r="H50" s="29">
        <f t="shared" ref="H50" si="16">J50-I50</f>
        <v>0.19791666666666674</v>
      </c>
      <c r="I50" s="30">
        <v>0.54166666666666663</v>
      </c>
      <c r="J50" s="30">
        <v>0.73958333333333337</v>
      </c>
    </row>
    <row r="51" spans="1:10" ht="50.4" x14ac:dyDescent="0.2">
      <c r="A51" s="22">
        <v>45804</v>
      </c>
      <c r="B51" s="22" t="s">
        <v>18</v>
      </c>
      <c r="C51" s="27" t="s">
        <v>130</v>
      </c>
      <c r="D51" s="27" t="s">
        <v>223</v>
      </c>
      <c r="E51" s="27" t="s">
        <v>62</v>
      </c>
      <c r="F51" s="27" t="s">
        <v>15</v>
      </c>
      <c r="G51" s="28" t="s">
        <v>291</v>
      </c>
      <c r="H51" s="29">
        <f t="shared" si="0"/>
        <v>0.16666666666666669</v>
      </c>
      <c r="I51" s="30">
        <v>0.33333333333333331</v>
      </c>
      <c r="J51" s="30">
        <v>0.5</v>
      </c>
    </row>
    <row r="52" spans="1:10" ht="50.4" x14ac:dyDescent="0.2">
      <c r="A52" s="22">
        <v>45804</v>
      </c>
      <c r="B52" s="22" t="s">
        <v>18</v>
      </c>
      <c r="C52" s="27" t="s">
        <v>130</v>
      </c>
      <c r="D52" s="27" t="s">
        <v>223</v>
      </c>
      <c r="E52" s="27" t="s">
        <v>62</v>
      </c>
      <c r="F52" s="27" t="s">
        <v>15</v>
      </c>
      <c r="G52" s="28" t="s">
        <v>292</v>
      </c>
      <c r="H52" s="29">
        <f t="shared" ref="H52" si="17">J52-I52</f>
        <v>0.18541666666666667</v>
      </c>
      <c r="I52" s="30">
        <v>0.54166666666666663</v>
      </c>
      <c r="J52" s="30">
        <v>0.7270833333333333</v>
      </c>
    </row>
    <row r="53" spans="1:10" ht="88.2" x14ac:dyDescent="0.2">
      <c r="A53" s="22">
        <v>45805</v>
      </c>
      <c r="B53" s="22" t="s">
        <v>19</v>
      </c>
      <c r="C53" s="27" t="s">
        <v>130</v>
      </c>
      <c r="D53" s="27" t="s">
        <v>223</v>
      </c>
      <c r="E53" s="27" t="s">
        <v>62</v>
      </c>
      <c r="F53" s="27" t="s">
        <v>15</v>
      </c>
      <c r="G53" s="28" t="s">
        <v>293</v>
      </c>
      <c r="H53" s="29">
        <f t="shared" si="0"/>
        <v>0.16666666666666669</v>
      </c>
      <c r="I53" s="30">
        <v>0.33333333333333331</v>
      </c>
      <c r="J53" s="30">
        <v>0.5</v>
      </c>
    </row>
    <row r="54" spans="1:10" ht="50.4" x14ac:dyDescent="0.2">
      <c r="A54" s="22">
        <v>45805</v>
      </c>
      <c r="B54" s="22" t="s">
        <v>19</v>
      </c>
      <c r="C54" s="27" t="s">
        <v>130</v>
      </c>
      <c r="D54" s="27" t="s">
        <v>223</v>
      </c>
      <c r="E54" s="27" t="s">
        <v>62</v>
      </c>
      <c r="F54" s="27" t="s">
        <v>15</v>
      </c>
      <c r="G54" s="28" t="s">
        <v>292</v>
      </c>
      <c r="H54" s="29">
        <f t="shared" ref="H54" si="18">J54-I54</f>
        <v>0.19097222222222221</v>
      </c>
      <c r="I54" s="30">
        <v>0.54166666666666663</v>
      </c>
      <c r="J54" s="30">
        <v>0.73263888888888884</v>
      </c>
    </row>
    <row r="55" spans="1:10" ht="88.2" x14ac:dyDescent="0.2">
      <c r="A55" s="22">
        <v>45806</v>
      </c>
      <c r="B55" s="22" t="s">
        <v>20</v>
      </c>
      <c r="C55" s="27" t="s">
        <v>130</v>
      </c>
      <c r="D55" s="27" t="s">
        <v>223</v>
      </c>
      <c r="E55" s="27" t="s">
        <v>62</v>
      </c>
      <c r="F55" s="27" t="s">
        <v>15</v>
      </c>
      <c r="G55" s="28" t="s">
        <v>293</v>
      </c>
      <c r="H55" s="29">
        <f t="shared" si="0"/>
        <v>0.16666666666666669</v>
      </c>
      <c r="I55" s="30">
        <v>0.33333333333333331</v>
      </c>
      <c r="J55" s="30">
        <v>0.5</v>
      </c>
    </row>
    <row r="56" spans="1:10" ht="50.4" x14ac:dyDescent="0.2">
      <c r="A56" s="22">
        <v>45806</v>
      </c>
      <c r="B56" s="22" t="s">
        <v>20</v>
      </c>
      <c r="C56" s="27" t="s">
        <v>130</v>
      </c>
      <c r="D56" s="27" t="s">
        <v>223</v>
      </c>
      <c r="E56" s="27" t="s">
        <v>62</v>
      </c>
      <c r="F56" s="27" t="s">
        <v>15</v>
      </c>
      <c r="G56" s="28" t="s">
        <v>292</v>
      </c>
      <c r="H56" s="29">
        <f t="shared" ref="H56" si="19">J56-I56</f>
        <v>0.17777777777777781</v>
      </c>
      <c r="I56" s="30">
        <v>0.54166666666666663</v>
      </c>
      <c r="J56" s="30">
        <v>0.71944444444444444</v>
      </c>
    </row>
    <row r="57" spans="1:10" ht="88.2" x14ac:dyDescent="0.2">
      <c r="A57" s="22">
        <v>45807</v>
      </c>
      <c r="B57" s="22" t="s">
        <v>11</v>
      </c>
      <c r="C57" s="27" t="s">
        <v>130</v>
      </c>
      <c r="D57" s="27" t="s">
        <v>223</v>
      </c>
      <c r="E57" s="27" t="s">
        <v>62</v>
      </c>
      <c r="F57" s="27" t="s">
        <v>15</v>
      </c>
      <c r="G57" s="28" t="s">
        <v>293</v>
      </c>
      <c r="H57" s="29">
        <f t="shared" si="0"/>
        <v>0.16666666666666669</v>
      </c>
      <c r="I57" s="30">
        <v>0.33333333333333331</v>
      </c>
      <c r="J57" s="30">
        <v>0.5</v>
      </c>
    </row>
    <row r="58" spans="1:10" ht="63" x14ac:dyDescent="0.2">
      <c r="A58" s="22">
        <v>45807</v>
      </c>
      <c r="B58" s="22" t="s">
        <v>11</v>
      </c>
      <c r="C58" s="27" t="s">
        <v>130</v>
      </c>
      <c r="D58" s="27" t="s">
        <v>223</v>
      </c>
      <c r="E58" s="27" t="s">
        <v>62</v>
      </c>
      <c r="F58" s="27" t="s">
        <v>15</v>
      </c>
      <c r="G58" s="28" t="s">
        <v>294</v>
      </c>
      <c r="H58" s="29">
        <f t="shared" ref="H58" si="20">J58-I58</f>
        <v>0.2055555555555556</v>
      </c>
      <c r="I58" s="30">
        <v>0.54166666666666663</v>
      </c>
      <c r="J58" s="30">
        <v>0.74722222222222223</v>
      </c>
    </row>
    <row r="59" spans="1:10" ht="13.95" customHeight="1" x14ac:dyDescent="0.25">
      <c r="A59" s="31">
        <v>45808</v>
      </c>
      <c r="B59" s="31" t="s">
        <v>14</v>
      </c>
      <c r="C59" s="99"/>
      <c r="D59" s="99"/>
      <c r="E59" s="99"/>
      <c r="F59" s="32"/>
      <c r="G59" s="99"/>
      <c r="H59" s="34">
        <f t="shared" si="0"/>
        <v>0</v>
      </c>
      <c r="I59" s="100"/>
      <c r="J59" s="32"/>
    </row>
    <row r="60" spans="1:10" ht="13.95" customHeight="1" thickBot="1" x14ac:dyDescent="0.3">
      <c r="A60" s="46"/>
      <c r="B60" s="45"/>
      <c r="C60" s="45"/>
      <c r="D60" s="45"/>
      <c r="E60" s="45"/>
      <c r="F60" s="45"/>
      <c r="G60" s="45"/>
      <c r="H60" s="36"/>
      <c r="I60" s="37"/>
    </row>
    <row r="61" spans="1:10" ht="13.95" customHeight="1" x14ac:dyDescent="0.25">
      <c r="A61" s="4"/>
      <c r="B61" s="4"/>
      <c r="C61" s="5"/>
      <c r="D61" s="6"/>
      <c r="E61" s="7" t="s">
        <v>295</v>
      </c>
      <c r="F61" s="8">
        <f>F62*8</f>
        <v>168</v>
      </c>
      <c r="H61" s="40"/>
    </row>
    <row r="62" spans="1:10" ht="13.95" customHeight="1" thickBot="1" x14ac:dyDescent="0.3">
      <c r="A62" s="4"/>
      <c r="B62" s="4"/>
      <c r="C62" s="9"/>
      <c r="D62" s="2"/>
      <c r="E62" s="10" t="s">
        <v>22</v>
      </c>
      <c r="F62" s="11">
        <v>21</v>
      </c>
      <c r="H62" s="40"/>
    </row>
    <row r="63" spans="1:10" ht="13.95" customHeight="1" thickBot="1" x14ac:dyDescent="0.3">
      <c r="A63" s="119" t="s">
        <v>23</v>
      </c>
      <c r="B63" s="119"/>
      <c r="C63" s="119"/>
      <c r="D63" s="12"/>
      <c r="E63" s="2"/>
      <c r="F63" s="2"/>
      <c r="H63" s="40"/>
    </row>
    <row r="64" spans="1:10" ht="13.8" x14ac:dyDescent="0.25">
      <c r="A64" s="13"/>
      <c r="B64" s="13"/>
      <c r="C64" s="6"/>
      <c r="D64" s="6"/>
      <c r="E64" s="14" t="s">
        <v>24</v>
      </c>
      <c r="F64" s="15">
        <f>SUMIF(F9:F59,"Billable",H9:H59)</f>
        <v>0</v>
      </c>
      <c r="H64" s="38"/>
    </row>
    <row r="65" spans="1:8" ht="15" customHeight="1" thickBot="1" x14ac:dyDescent="0.3">
      <c r="A65" s="120" t="s">
        <v>25</v>
      </c>
      <c r="B65" s="120"/>
      <c r="C65" s="120"/>
      <c r="D65" s="16"/>
      <c r="E65" s="17" t="s">
        <v>26</v>
      </c>
      <c r="F65" s="18">
        <f>SUMIF(F9:F59,"Non-Billable",H9:H59)</f>
        <v>7.7631944444444478</v>
      </c>
      <c r="H65" s="40"/>
    </row>
    <row r="66" spans="1:8" ht="14.4" thickBot="1" x14ac:dyDescent="0.3">
      <c r="A66" s="2"/>
      <c r="B66" s="2"/>
      <c r="C66" s="2"/>
      <c r="D66" s="2"/>
      <c r="E66" s="19" t="s">
        <v>27</v>
      </c>
      <c r="F66" s="44">
        <f>F64+F65</f>
        <v>7.7631944444444478</v>
      </c>
      <c r="H66" s="40"/>
    </row>
    <row r="67" spans="1:8" ht="13.8" thickBot="1" x14ac:dyDescent="0.3">
      <c r="A67" s="2"/>
      <c r="B67" s="2"/>
      <c r="C67" s="2"/>
      <c r="D67" s="2"/>
      <c r="E67" s="2"/>
      <c r="F67" s="2"/>
      <c r="H67" s="40"/>
    </row>
    <row r="68" spans="1:8" ht="13.8" thickBot="1" x14ac:dyDescent="0.3">
      <c r="A68" s="2"/>
      <c r="B68" s="2"/>
      <c r="C68" s="2"/>
      <c r="D68" s="2"/>
      <c r="E68" s="20" t="s">
        <v>28</v>
      </c>
      <c r="F68" s="21"/>
      <c r="H68" s="40"/>
    </row>
    <row r="69" spans="1:8" ht="13.2" thickBot="1" x14ac:dyDescent="0.25">
      <c r="E69" s="39"/>
      <c r="H69" s="40"/>
    </row>
  </sheetData>
  <mergeCells count="2">
    <mergeCell ref="A63:C63"/>
    <mergeCell ref="A65:C65"/>
  </mergeCells>
  <phoneticPr fontId="10" type="noConversion"/>
  <conditionalFormatting sqref="A6:B6 D6:E7">
    <cfRule type="containsText" dxfId="79" priority="21" operator="containsText" text="Religious Leave">
      <formula>NOT(ISERROR(SEARCH("Religious Leave",A6)))</formula>
    </cfRule>
    <cfRule type="containsText" dxfId="78" priority="22" operator="containsText" text="Birthday Leave">
      <formula>NOT(ISERROR(SEARCH("Birthday Leave",A6)))</formula>
    </cfRule>
    <cfRule type="containsText" dxfId="77" priority="23" operator="containsText" text="Study Leave">
      <formula>NOT(ISERROR(SEARCH("Study Leave",A6)))</formula>
    </cfRule>
    <cfRule type="containsText" dxfId="76" priority="24" operator="containsText" text="Family Responsibility Leave">
      <formula>NOT(ISERROR(SEARCH("Family Responsibility Leave",A6)))</formula>
    </cfRule>
    <cfRule type="containsText" dxfId="75" priority="25" operator="containsText" text="Sick Leave">
      <formula>NOT(ISERROR(SEARCH("Sick Leave",A6)))</formula>
    </cfRule>
    <cfRule type="containsText" dxfId="74" priority="26" operator="containsText" text="Annual Leave">
      <formula>NOT(ISERROR(SEARCH("Annual Leave",A6)))</formula>
    </cfRule>
    <cfRule type="cellIs" dxfId="73" priority="27" operator="equal">
      <formula>"Public Holiday"</formula>
    </cfRule>
  </conditionalFormatting>
  <conditionalFormatting sqref="B7:B69">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59:E61 D63:E65 E68">
    <cfRule type="containsText" dxfId="70" priority="1" operator="containsText" text="Religious Leave">
      <formula>NOT(ISERROR(SEARCH("Religious Leave",D59)))</formula>
    </cfRule>
    <cfRule type="containsText" dxfId="69" priority="2" operator="containsText" text="Birthday Leave">
      <formula>NOT(ISERROR(SEARCH("Birthday Leave",D59)))</formula>
    </cfRule>
    <cfRule type="containsText" dxfId="68" priority="3" operator="containsText" text="Study Leave">
      <formula>NOT(ISERROR(SEARCH("Study Leave",D59)))</formula>
    </cfRule>
    <cfRule type="containsText" dxfId="67" priority="4" operator="containsText" text="Family Responsibility Leave">
      <formula>NOT(ISERROR(SEARCH("Family Responsibility Leave",D59)))</formula>
    </cfRule>
    <cfRule type="containsText" dxfId="66" priority="5" operator="containsText" text="Sick Leave">
      <formula>NOT(ISERROR(SEARCH("Sick Leave",D59)))</formula>
    </cfRule>
    <cfRule type="containsText" dxfId="65" priority="6" operator="containsText" text="Annual Leave">
      <formula>NOT(ISERROR(SEARCH("Annual Leave",D59)))</formula>
    </cfRule>
    <cfRule type="cellIs" dxfId="64" priority="7" operator="equal">
      <formula>"Public Holiday"</formula>
    </cfRule>
  </conditionalFormatting>
  <dataValidations count="1">
    <dataValidation type="time" allowBlank="1" showErrorMessage="1" errorTitle="Invalid Time Format" error="Please input a valid time. For e.g. 08:00" sqref="I9:J58" xr:uid="{BD26AAF6-378B-4691-A188-8206158BA92F}">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D5B6F42-7851-492E-BD1E-CF1438F5F87C}">
          <x14:formula1>
            <xm:f>Key!$K$3:$K$4</xm:f>
          </x14:formula1>
          <xm:sqref>F9:F59</xm:sqref>
        </x14:dataValidation>
        <x14:dataValidation type="list" allowBlank="1" showInputMessage="1" showErrorMessage="1" xr:uid="{6D37C029-6824-4E5B-BA42-C38962DEC5F9}">
          <x14:formula1>
            <xm:f>Key!$B$2:$B$48</xm:f>
          </x14:formula1>
          <xm:sqref>C9:C58</xm:sqref>
        </x14:dataValidation>
        <x14:dataValidation type="list" allowBlank="1" showInputMessage="1" showErrorMessage="1" xr:uid="{C97E0D12-88E3-4A10-AA0D-A710F2C4A1C7}">
          <x14:formula1>
            <xm:f>Key!$F$3:$F$48</xm:f>
          </x14:formula1>
          <xm:sqref>E9:E58</xm:sqref>
        </x14:dataValidation>
        <x14:dataValidation type="list" allowBlank="1" showInputMessage="1" showErrorMessage="1" xr:uid="{D2E40F83-7CA7-478E-877A-2530D69CF151}">
          <x14:formula1>
            <xm:f>Key!$H$5:$H$79</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92ED-F226-4107-8C14-FCA383B998C3}">
  <dimension ref="A5:J48"/>
  <sheetViews>
    <sheetView zoomScale="75" zoomScaleNormal="75" workbookViewId="0">
      <selection activeCell="C18" sqref="C18"/>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94</v>
      </c>
      <c r="B6" s="74">
        <f>F43</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45809</v>
      </c>
      <c r="B9" s="31" t="s">
        <v>16</v>
      </c>
      <c r="C9" s="32"/>
      <c r="D9" s="32"/>
      <c r="E9" s="32"/>
      <c r="F9" s="32"/>
      <c r="G9" s="33"/>
      <c r="H9" s="34">
        <f>J9-I9</f>
        <v>0</v>
      </c>
      <c r="I9" s="35"/>
      <c r="J9" s="35"/>
    </row>
    <row r="10" spans="1:10" x14ac:dyDescent="0.2">
      <c r="A10" s="22">
        <v>45810</v>
      </c>
      <c r="B10" s="22" t="s">
        <v>17</v>
      </c>
      <c r="C10" s="27" t="s">
        <v>130</v>
      </c>
      <c r="D10" s="27" t="s">
        <v>108</v>
      </c>
      <c r="E10" s="27" t="s">
        <v>31</v>
      </c>
      <c r="F10" s="27" t="s">
        <v>13</v>
      </c>
      <c r="G10" s="28" t="s">
        <v>109</v>
      </c>
      <c r="H10" s="29">
        <f t="shared" ref="H10:H35" si="0">J10-I10</f>
        <v>0.33333333333333331</v>
      </c>
      <c r="I10" s="30">
        <v>0.33333333333333331</v>
      </c>
      <c r="J10" s="30">
        <v>0.66666666666666663</v>
      </c>
    </row>
    <row r="11" spans="1:10" x14ac:dyDescent="0.2">
      <c r="A11" s="22">
        <v>45811</v>
      </c>
      <c r="B11" s="22" t="s">
        <v>18</v>
      </c>
      <c r="C11" s="27"/>
      <c r="D11" s="27"/>
      <c r="E11" s="27"/>
      <c r="F11" s="27"/>
      <c r="G11" s="28"/>
      <c r="H11" s="29">
        <f t="shared" si="0"/>
        <v>0</v>
      </c>
      <c r="I11" s="30"/>
      <c r="J11" s="30"/>
    </row>
    <row r="12" spans="1:10" x14ac:dyDescent="0.2">
      <c r="A12" s="22">
        <v>45812</v>
      </c>
      <c r="B12" s="22" t="s">
        <v>19</v>
      </c>
      <c r="C12" s="27"/>
      <c r="D12" s="27"/>
      <c r="E12" s="27"/>
      <c r="F12" s="27"/>
      <c r="G12" s="28"/>
      <c r="H12" s="29">
        <f t="shared" si="0"/>
        <v>0</v>
      </c>
      <c r="I12" s="30"/>
      <c r="J12" s="30"/>
    </row>
    <row r="13" spans="1:10" x14ac:dyDescent="0.2">
      <c r="A13" s="22">
        <v>45813</v>
      </c>
      <c r="B13" s="22" t="s">
        <v>20</v>
      </c>
      <c r="C13" s="27"/>
      <c r="D13" s="27"/>
      <c r="E13" s="27"/>
      <c r="F13" s="27"/>
      <c r="G13" s="28"/>
      <c r="H13" s="29">
        <f t="shared" si="0"/>
        <v>0</v>
      </c>
      <c r="I13" s="30"/>
      <c r="J13" s="30"/>
    </row>
    <row r="14" spans="1:10" x14ac:dyDescent="0.2">
      <c r="A14" s="22">
        <v>45814</v>
      </c>
      <c r="B14" s="22" t="s">
        <v>11</v>
      </c>
      <c r="C14" s="27"/>
      <c r="D14" s="27"/>
      <c r="E14" s="27"/>
      <c r="F14" s="27"/>
      <c r="G14" s="28"/>
      <c r="H14" s="29">
        <f t="shared" si="0"/>
        <v>0</v>
      </c>
      <c r="I14" s="30"/>
      <c r="J14" s="30"/>
    </row>
    <row r="15" spans="1:10" x14ac:dyDescent="0.2">
      <c r="A15" s="31">
        <v>45815</v>
      </c>
      <c r="B15" s="31" t="s">
        <v>14</v>
      </c>
      <c r="C15" s="32"/>
      <c r="D15" s="32"/>
      <c r="E15" s="32"/>
      <c r="F15" s="32"/>
      <c r="G15" s="33"/>
      <c r="H15" s="34">
        <f t="shared" si="0"/>
        <v>0</v>
      </c>
      <c r="I15" s="35"/>
      <c r="J15" s="35"/>
    </row>
    <row r="16" spans="1:10" x14ac:dyDescent="0.2">
      <c r="A16" s="31">
        <v>45816</v>
      </c>
      <c r="B16" s="31" t="s">
        <v>16</v>
      </c>
      <c r="C16" s="32"/>
      <c r="D16" s="32"/>
      <c r="E16" s="32"/>
      <c r="F16" s="32"/>
      <c r="G16" s="33"/>
      <c r="H16" s="34">
        <f t="shared" si="0"/>
        <v>0</v>
      </c>
      <c r="I16" s="35"/>
      <c r="J16" s="35"/>
    </row>
    <row r="17" spans="1:10" x14ac:dyDescent="0.2">
      <c r="A17" s="22">
        <v>45817</v>
      </c>
      <c r="B17" s="22" t="s">
        <v>17</v>
      </c>
      <c r="C17" s="27"/>
      <c r="D17" s="27"/>
      <c r="E17" s="27"/>
      <c r="F17" s="27"/>
      <c r="G17" s="28"/>
      <c r="H17" s="29">
        <f t="shared" si="0"/>
        <v>0</v>
      </c>
      <c r="I17" s="30"/>
      <c r="J17" s="30"/>
    </row>
    <row r="18" spans="1:10" x14ac:dyDescent="0.2">
      <c r="A18" s="22">
        <v>45818</v>
      </c>
      <c r="B18" s="22" t="s">
        <v>18</v>
      </c>
      <c r="C18" s="27"/>
      <c r="D18" s="27"/>
      <c r="E18" s="27"/>
      <c r="F18" s="27"/>
      <c r="G18" s="28"/>
      <c r="H18" s="29">
        <f t="shared" si="0"/>
        <v>0</v>
      </c>
      <c r="I18" s="30"/>
      <c r="J18" s="30"/>
    </row>
    <row r="19" spans="1:10" x14ac:dyDescent="0.2">
      <c r="A19" s="22">
        <v>45819</v>
      </c>
      <c r="B19" s="22" t="s">
        <v>19</v>
      </c>
      <c r="C19" s="27"/>
      <c r="D19" s="27"/>
      <c r="E19" s="27"/>
      <c r="F19" s="27"/>
      <c r="G19" s="28"/>
      <c r="H19" s="29">
        <f t="shared" si="0"/>
        <v>0</v>
      </c>
      <c r="I19" s="30"/>
      <c r="J19" s="30"/>
    </row>
    <row r="20" spans="1:10" x14ac:dyDescent="0.2">
      <c r="A20" s="22">
        <v>45820</v>
      </c>
      <c r="B20" s="22" t="s">
        <v>20</v>
      </c>
      <c r="C20" s="27"/>
      <c r="D20" s="27"/>
      <c r="E20" s="27"/>
      <c r="F20" s="27"/>
      <c r="G20" s="28"/>
      <c r="H20" s="29">
        <f t="shared" si="0"/>
        <v>0</v>
      </c>
      <c r="I20" s="30"/>
      <c r="J20" s="30"/>
    </row>
    <row r="21" spans="1:10" x14ac:dyDescent="0.2">
      <c r="A21" s="22">
        <v>45821</v>
      </c>
      <c r="B21" s="22" t="s">
        <v>11</v>
      </c>
      <c r="C21" s="27"/>
      <c r="D21" s="27"/>
      <c r="E21" s="27"/>
      <c r="F21" s="27"/>
      <c r="G21" s="28"/>
      <c r="H21" s="29">
        <f t="shared" si="0"/>
        <v>0</v>
      </c>
      <c r="I21" s="30"/>
      <c r="J21" s="30"/>
    </row>
    <row r="22" spans="1:10" x14ac:dyDescent="0.2">
      <c r="A22" s="31">
        <v>45822</v>
      </c>
      <c r="B22" s="31" t="s">
        <v>14</v>
      </c>
      <c r="C22" s="32"/>
      <c r="D22" s="32"/>
      <c r="E22" s="32"/>
      <c r="F22" s="32"/>
      <c r="G22" s="33"/>
      <c r="H22" s="34">
        <f t="shared" si="0"/>
        <v>0</v>
      </c>
      <c r="I22" s="35"/>
      <c r="J22" s="35"/>
    </row>
    <row r="23" spans="1:10" x14ac:dyDescent="0.2">
      <c r="A23" s="31">
        <v>45823</v>
      </c>
      <c r="B23" s="31" t="s">
        <v>16</v>
      </c>
      <c r="C23" s="32"/>
      <c r="D23" s="32"/>
      <c r="E23" s="32"/>
      <c r="F23" s="32"/>
      <c r="G23" s="33"/>
      <c r="H23" s="34">
        <f t="shared" si="0"/>
        <v>0</v>
      </c>
      <c r="I23" s="35"/>
      <c r="J23" s="35"/>
    </row>
    <row r="24" spans="1:10" x14ac:dyDescent="0.2">
      <c r="A24" s="47">
        <v>45824</v>
      </c>
      <c r="B24" s="47" t="s">
        <v>17</v>
      </c>
      <c r="C24" s="48" t="s">
        <v>130</v>
      </c>
      <c r="D24" s="48"/>
      <c r="E24" s="48" t="s">
        <v>90</v>
      </c>
      <c r="F24" s="48" t="s">
        <v>15</v>
      </c>
      <c r="G24" s="49" t="s">
        <v>196</v>
      </c>
      <c r="H24" s="50">
        <f t="shared" si="0"/>
        <v>0.33333333333333331</v>
      </c>
      <c r="I24" s="51">
        <v>0.33333333333333331</v>
      </c>
      <c r="J24" s="51">
        <v>0.66666666666666663</v>
      </c>
    </row>
    <row r="25" spans="1:10" x14ac:dyDescent="0.2">
      <c r="A25" s="22">
        <v>45825</v>
      </c>
      <c r="B25" s="22" t="s">
        <v>18</v>
      </c>
      <c r="C25" s="27"/>
      <c r="D25" s="27"/>
      <c r="E25" s="27"/>
      <c r="F25" s="27"/>
      <c r="G25" s="28"/>
      <c r="H25" s="29">
        <f t="shared" si="0"/>
        <v>0</v>
      </c>
      <c r="I25" s="30"/>
      <c r="J25" s="30"/>
    </row>
    <row r="26" spans="1:10" x14ac:dyDescent="0.2">
      <c r="A26" s="22">
        <v>45826</v>
      </c>
      <c r="B26" s="22" t="s">
        <v>19</v>
      </c>
      <c r="C26" s="27"/>
      <c r="D26" s="27"/>
      <c r="E26" s="27"/>
      <c r="F26" s="27"/>
      <c r="G26" s="28"/>
      <c r="H26" s="29">
        <f t="shared" si="0"/>
        <v>0</v>
      </c>
      <c r="I26" s="30"/>
      <c r="J26" s="30"/>
    </row>
    <row r="27" spans="1:10" x14ac:dyDescent="0.2">
      <c r="A27" s="22">
        <v>45827</v>
      </c>
      <c r="B27" s="22" t="s">
        <v>20</v>
      </c>
      <c r="C27" s="27"/>
      <c r="D27" s="27"/>
      <c r="E27" s="27"/>
      <c r="F27" s="27"/>
      <c r="G27" s="28"/>
      <c r="H27" s="29">
        <f t="shared" si="0"/>
        <v>0</v>
      </c>
      <c r="I27" s="30"/>
      <c r="J27" s="30"/>
    </row>
    <row r="28" spans="1:10" x14ac:dyDescent="0.2">
      <c r="A28" s="22">
        <v>45828</v>
      </c>
      <c r="B28" s="22" t="s">
        <v>11</v>
      </c>
      <c r="C28" s="27"/>
      <c r="D28" s="27"/>
      <c r="E28" s="27"/>
      <c r="F28" s="27"/>
      <c r="G28" s="28"/>
      <c r="H28" s="29">
        <f t="shared" si="0"/>
        <v>0</v>
      </c>
      <c r="I28" s="30"/>
      <c r="J28" s="30"/>
    </row>
    <row r="29" spans="1:10" x14ac:dyDescent="0.2">
      <c r="A29" s="31">
        <v>45829</v>
      </c>
      <c r="B29" s="31" t="s">
        <v>14</v>
      </c>
      <c r="C29" s="32"/>
      <c r="D29" s="32"/>
      <c r="E29" s="32"/>
      <c r="F29" s="32"/>
      <c r="G29" s="33"/>
      <c r="H29" s="34">
        <f t="shared" si="0"/>
        <v>0</v>
      </c>
      <c r="I29" s="35"/>
      <c r="J29" s="35"/>
    </row>
    <row r="30" spans="1:10" x14ac:dyDescent="0.2">
      <c r="A30" s="31">
        <v>45830</v>
      </c>
      <c r="B30" s="31" t="s">
        <v>16</v>
      </c>
      <c r="C30" s="32"/>
      <c r="D30" s="32"/>
      <c r="E30" s="32"/>
      <c r="F30" s="32"/>
      <c r="G30" s="33"/>
      <c r="H30" s="34">
        <f t="shared" si="0"/>
        <v>0</v>
      </c>
      <c r="I30" s="35"/>
      <c r="J30" s="35"/>
    </row>
    <row r="31" spans="1:10" x14ac:dyDescent="0.2">
      <c r="A31" s="22">
        <v>45831</v>
      </c>
      <c r="B31" s="22" t="s">
        <v>17</v>
      </c>
      <c r="C31" s="27"/>
      <c r="D31" s="27"/>
      <c r="E31" s="27"/>
      <c r="F31" s="27"/>
      <c r="G31" s="28"/>
      <c r="H31" s="29">
        <f t="shared" si="0"/>
        <v>0</v>
      </c>
      <c r="I31" s="30"/>
      <c r="J31" s="30"/>
    </row>
    <row r="32" spans="1:10" x14ac:dyDescent="0.2">
      <c r="A32" s="22">
        <v>45832</v>
      </c>
      <c r="B32" s="22" t="s">
        <v>18</v>
      </c>
      <c r="C32" s="27"/>
      <c r="D32" s="27"/>
      <c r="E32" s="27"/>
      <c r="F32" s="27"/>
      <c r="G32" s="28"/>
      <c r="H32" s="29">
        <f t="shared" ref="H32" si="1">J32-I32</f>
        <v>0</v>
      </c>
      <c r="I32" s="30"/>
      <c r="J32" s="30"/>
    </row>
    <row r="33" spans="1:10" x14ac:dyDescent="0.2">
      <c r="A33" s="22">
        <v>45833</v>
      </c>
      <c r="B33" s="22" t="s">
        <v>19</v>
      </c>
      <c r="C33" s="27"/>
      <c r="D33" s="27"/>
      <c r="E33" s="27"/>
      <c r="F33" s="27"/>
      <c r="G33" s="28"/>
      <c r="H33" s="29">
        <f t="shared" si="0"/>
        <v>0</v>
      </c>
      <c r="I33" s="30"/>
      <c r="J33" s="30"/>
    </row>
    <row r="34" spans="1:10" x14ac:dyDescent="0.2">
      <c r="A34" s="22">
        <v>45834</v>
      </c>
      <c r="B34" s="22" t="s">
        <v>20</v>
      </c>
      <c r="C34" s="27"/>
      <c r="D34" s="27"/>
      <c r="E34" s="27"/>
      <c r="F34" s="27"/>
      <c r="G34" s="28"/>
      <c r="H34" s="29">
        <f t="shared" si="0"/>
        <v>0</v>
      </c>
      <c r="I34" s="30"/>
      <c r="J34" s="30"/>
    </row>
    <row r="35" spans="1:10" x14ac:dyDescent="0.2">
      <c r="A35" s="22">
        <v>45835</v>
      </c>
      <c r="B35" s="22" t="s">
        <v>11</v>
      </c>
      <c r="C35" s="27"/>
      <c r="D35" s="27"/>
      <c r="E35" s="27"/>
      <c r="F35" s="27"/>
      <c r="G35" s="28"/>
      <c r="H35" s="29">
        <f t="shared" si="0"/>
        <v>0</v>
      </c>
      <c r="I35" s="30"/>
      <c r="J35" s="30"/>
    </row>
    <row r="36" spans="1:10" x14ac:dyDescent="0.2">
      <c r="A36" s="31">
        <v>45836</v>
      </c>
      <c r="B36" s="31" t="s">
        <v>14</v>
      </c>
      <c r="C36" s="32"/>
      <c r="D36" s="32"/>
      <c r="E36" s="32"/>
      <c r="F36" s="32"/>
      <c r="G36" s="33"/>
      <c r="H36" s="34">
        <f t="shared" ref="H36:H38" si="2">J36-I36</f>
        <v>0</v>
      </c>
      <c r="I36" s="35"/>
      <c r="J36" s="35"/>
    </row>
    <row r="37" spans="1:10" x14ac:dyDescent="0.2">
      <c r="A37" s="31">
        <v>45837</v>
      </c>
      <c r="B37" s="31" t="s">
        <v>16</v>
      </c>
      <c r="C37" s="32"/>
      <c r="D37" s="32"/>
      <c r="E37" s="32"/>
      <c r="F37" s="32"/>
      <c r="G37" s="33"/>
      <c r="H37" s="34">
        <f t="shared" si="2"/>
        <v>0</v>
      </c>
      <c r="I37" s="35"/>
      <c r="J37" s="35"/>
    </row>
    <row r="38" spans="1:10" ht="13.2" thickBot="1" x14ac:dyDescent="0.25">
      <c r="A38" s="22">
        <v>45838</v>
      </c>
      <c r="B38" s="22" t="s">
        <v>17</v>
      </c>
      <c r="C38" s="27"/>
      <c r="D38" s="27"/>
      <c r="E38" s="27"/>
      <c r="F38" s="27"/>
      <c r="G38" s="28"/>
      <c r="H38" s="29">
        <f t="shared" si="2"/>
        <v>0</v>
      </c>
      <c r="I38" s="30"/>
      <c r="J38" s="30"/>
    </row>
    <row r="39" spans="1:10" ht="13.95" customHeight="1" thickBot="1" x14ac:dyDescent="0.3">
      <c r="A39" s="45"/>
      <c r="B39" s="45"/>
      <c r="C39" s="45"/>
      <c r="D39" s="45"/>
      <c r="E39" s="1"/>
      <c r="F39" s="1"/>
      <c r="G39" s="45"/>
      <c r="H39" s="36"/>
      <c r="I39" s="37"/>
    </row>
    <row r="40" spans="1:10" ht="13.95" customHeight="1" x14ac:dyDescent="0.25">
      <c r="A40" s="4"/>
      <c r="B40" s="4"/>
      <c r="C40" s="5"/>
      <c r="D40" s="6"/>
      <c r="E40" s="7" t="s">
        <v>21</v>
      </c>
      <c r="F40" s="8">
        <v>160</v>
      </c>
      <c r="H40" s="40"/>
    </row>
    <row r="41" spans="1:10" ht="13.95" customHeight="1" thickBot="1" x14ac:dyDescent="0.3">
      <c r="A41" s="4"/>
      <c r="B41" s="4"/>
      <c r="C41" s="9"/>
      <c r="D41" s="2"/>
      <c r="E41" s="10" t="s">
        <v>22</v>
      </c>
      <c r="F41" s="11">
        <v>20</v>
      </c>
      <c r="H41" s="40"/>
    </row>
    <row r="42" spans="1:10" ht="13.95" customHeight="1" thickBot="1" x14ac:dyDescent="0.3">
      <c r="A42" s="119" t="s">
        <v>23</v>
      </c>
      <c r="B42" s="119"/>
      <c r="C42" s="119"/>
      <c r="D42" s="12"/>
      <c r="E42" s="2"/>
      <c r="F42" s="2"/>
      <c r="H42" s="40"/>
    </row>
    <row r="43" spans="1:10" ht="13.8" x14ac:dyDescent="0.25">
      <c r="A43" s="13"/>
      <c r="B43" s="13"/>
      <c r="C43" s="6"/>
      <c r="D43" s="6"/>
      <c r="E43" s="14" t="s">
        <v>24</v>
      </c>
      <c r="F43" s="15">
        <f>SUMIF(F9:F38,"Billable",H9:H38)</f>
        <v>0.33333333333333331</v>
      </c>
      <c r="H43" s="38"/>
    </row>
    <row r="44" spans="1:10" ht="15" customHeight="1" thickBot="1" x14ac:dyDescent="0.3">
      <c r="A44" s="120" t="s">
        <v>25</v>
      </c>
      <c r="B44" s="120"/>
      <c r="C44" s="120"/>
      <c r="D44" s="16"/>
      <c r="E44" s="17" t="s">
        <v>26</v>
      </c>
      <c r="F44" s="18">
        <f>SUMIF(F9:F38,"Non-Billable",H9:H38)</f>
        <v>0.33333333333333331</v>
      </c>
      <c r="H44" s="40"/>
    </row>
    <row r="45" spans="1:10" ht="14.4" thickBot="1" x14ac:dyDescent="0.3">
      <c r="A45" s="2"/>
      <c r="B45" s="2"/>
      <c r="C45" s="2"/>
      <c r="D45" s="2"/>
      <c r="E45" s="19" t="s">
        <v>27</v>
      </c>
      <c r="F45" s="44">
        <f>F43+F44</f>
        <v>0.66666666666666663</v>
      </c>
      <c r="H45" s="40"/>
    </row>
    <row r="46" spans="1:10" ht="13.8" thickBot="1" x14ac:dyDescent="0.3">
      <c r="A46" s="2"/>
      <c r="B46" s="2"/>
      <c r="C46" s="2"/>
      <c r="D46" s="2"/>
      <c r="E46" s="2"/>
      <c r="F46" s="2"/>
      <c r="H46" s="40"/>
    </row>
    <row r="47" spans="1:10" ht="13.8" thickBot="1" x14ac:dyDescent="0.3">
      <c r="A47" s="2"/>
      <c r="B47" s="2"/>
      <c r="C47" s="2"/>
      <c r="D47" s="2"/>
      <c r="E47" s="20" t="s">
        <v>28</v>
      </c>
      <c r="F47" s="21"/>
      <c r="H47" s="40"/>
    </row>
    <row r="48" spans="1:10" ht="13.2" thickBot="1" x14ac:dyDescent="0.25">
      <c r="E48" s="39"/>
      <c r="H48" s="40"/>
    </row>
  </sheetData>
  <mergeCells count="2">
    <mergeCell ref="A42:C42"/>
    <mergeCell ref="A44:C44"/>
  </mergeCells>
  <phoneticPr fontId="10" type="noConversion"/>
  <conditionalFormatting sqref="A6:B6 D6:E7">
    <cfRule type="containsText" dxfId="63" priority="14" operator="containsText" text="Religious Leave">
      <formula>NOT(ISERROR(SEARCH("Religious Leave",A6)))</formula>
    </cfRule>
    <cfRule type="containsText" dxfId="62" priority="15" operator="containsText" text="Birthday Leave">
      <formula>NOT(ISERROR(SEARCH("Birthday Leave",A6)))</formula>
    </cfRule>
    <cfRule type="containsText" dxfId="61" priority="16" operator="containsText" text="Study Leave">
      <formula>NOT(ISERROR(SEARCH("Study Leave",A6)))</formula>
    </cfRule>
    <cfRule type="containsText" dxfId="60" priority="17" operator="containsText" text="Family Responsibility Leave">
      <formula>NOT(ISERROR(SEARCH("Family Responsibility Leave",A6)))</formula>
    </cfRule>
    <cfRule type="containsText" dxfId="59" priority="18" operator="containsText" text="Sick Leave">
      <formula>NOT(ISERROR(SEARCH("Sick Leave",A6)))</formula>
    </cfRule>
    <cfRule type="containsText" dxfId="58" priority="19" operator="containsText" text="Annual Leave">
      <formula>NOT(ISERROR(SEARCH("Annual Leave",A6)))</formula>
    </cfRule>
    <cfRule type="cellIs" dxfId="57" priority="20" operator="equal">
      <formula>"Public Holiday"</formula>
    </cfRule>
  </conditionalFormatting>
  <conditionalFormatting sqref="B7:B48">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39:E40 D42:E44 E47">
    <cfRule type="containsText" dxfId="54" priority="1" operator="containsText" text="Religious Leave">
      <formula>NOT(ISERROR(SEARCH("Religious Leave",D39)))</formula>
    </cfRule>
    <cfRule type="containsText" dxfId="53" priority="2" operator="containsText" text="Birthday Leave">
      <formula>NOT(ISERROR(SEARCH("Birthday Leave",D39)))</formula>
    </cfRule>
    <cfRule type="containsText" dxfId="52" priority="3" operator="containsText" text="Study Leave">
      <formula>NOT(ISERROR(SEARCH("Study Leave",D39)))</formula>
    </cfRule>
    <cfRule type="containsText" dxfId="51" priority="4" operator="containsText" text="Family Responsibility Leave">
      <formula>NOT(ISERROR(SEARCH("Family Responsibility Leave",D39)))</formula>
    </cfRule>
    <cfRule type="containsText" dxfId="50" priority="5" operator="containsText" text="Sick Leave">
      <formula>NOT(ISERROR(SEARCH("Sick Leave",D39)))</formula>
    </cfRule>
    <cfRule type="containsText" dxfId="49" priority="6" operator="containsText" text="Annual Leave">
      <formula>NOT(ISERROR(SEARCH("Annual Leave",D39)))</formula>
    </cfRule>
    <cfRule type="cellIs" dxfId="48" priority="7" operator="equal">
      <formula>"Public Holiday"</formula>
    </cfRule>
  </conditionalFormatting>
  <dataValidations count="1">
    <dataValidation type="time" allowBlank="1" showErrorMessage="1" errorTitle="Invalid Time Format" error="Please input a valid time. For e.g. 08:00" sqref="I9:J38" xr:uid="{AE0E279A-3651-4C53-B5BE-9320AB8ED8A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05EFAEA-09F9-426C-8EB4-C1D3371FF589}">
          <x14:formula1>
            <xm:f>Key!$K$3:$K$4</xm:f>
          </x14:formula1>
          <xm:sqref>F9:F38</xm:sqref>
        </x14:dataValidation>
        <x14:dataValidation type="list" allowBlank="1" showInputMessage="1" showErrorMessage="1" xr:uid="{F1A338DF-EA25-4B08-9176-04DE4DDAE78D}">
          <x14:formula1>
            <xm:f>Key!$B$2:$B$50</xm:f>
          </x14:formula1>
          <xm:sqref>C9:C38</xm:sqref>
        </x14:dataValidation>
        <x14:dataValidation type="list" allowBlank="1" showInputMessage="1" showErrorMessage="1" xr:uid="{BDB7910B-48F8-4AC3-8296-7ACE2245BF91}">
          <x14:formula1>
            <xm:f>Key!$F$3:$F$46</xm:f>
          </x14:formula1>
          <xm:sqref>E9:E38</xm:sqref>
        </x14:dataValidation>
        <x14:dataValidation type="list" allowBlank="1" showInputMessage="1" showErrorMessage="1" xr:uid="{522C5510-2B16-443A-8CBA-93200EDDFB81}">
          <x14:formula1>
            <xm:f>Key!$H$3:$H$79</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AC14-6A48-4DDF-A891-D5BFFE7E5F3C}">
  <dimension ref="A5:J49"/>
  <sheetViews>
    <sheetView zoomScale="75" zoomScaleNormal="75" workbookViewId="0">
      <selection activeCell="B5" sqref="B5"/>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94</v>
      </c>
      <c r="B6" s="74">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45839</v>
      </c>
      <c r="B9" s="22" t="s">
        <v>18</v>
      </c>
      <c r="C9" s="27" t="s">
        <v>130</v>
      </c>
      <c r="D9" s="27" t="s">
        <v>108</v>
      </c>
      <c r="E9" s="27" t="s">
        <v>31</v>
      </c>
      <c r="F9" s="27" t="s">
        <v>13</v>
      </c>
      <c r="G9" s="28" t="s">
        <v>109</v>
      </c>
      <c r="H9" s="29">
        <f>J9-I9</f>
        <v>0.33333333333333331</v>
      </c>
      <c r="I9" s="30">
        <v>0.33333333333333331</v>
      </c>
      <c r="J9" s="30">
        <v>0.66666666666666663</v>
      </c>
    </row>
    <row r="10" spans="1:10" x14ac:dyDescent="0.2">
      <c r="A10" s="22">
        <v>45840</v>
      </c>
      <c r="B10" s="22" t="s">
        <v>19</v>
      </c>
      <c r="C10" s="27"/>
      <c r="D10" s="27"/>
      <c r="E10" s="27"/>
      <c r="F10" s="27"/>
      <c r="G10" s="28"/>
      <c r="H10" s="29">
        <f>J10-I10</f>
        <v>0</v>
      </c>
      <c r="I10" s="30"/>
      <c r="J10" s="30"/>
    </row>
    <row r="11" spans="1:10" x14ac:dyDescent="0.2">
      <c r="A11" s="22">
        <v>45841</v>
      </c>
      <c r="B11" s="22" t="s">
        <v>20</v>
      </c>
      <c r="C11" s="27"/>
      <c r="D11" s="27"/>
      <c r="E11" s="27"/>
      <c r="F11" s="27"/>
      <c r="G11" s="28"/>
      <c r="H11" s="29">
        <f>J11-I11</f>
        <v>0</v>
      </c>
      <c r="I11" s="30"/>
      <c r="J11" s="30"/>
    </row>
    <row r="12" spans="1:10" x14ac:dyDescent="0.2">
      <c r="A12" s="22">
        <v>45842</v>
      </c>
      <c r="B12" s="22" t="s">
        <v>11</v>
      </c>
      <c r="C12" s="27"/>
      <c r="D12" s="27"/>
      <c r="E12" s="27"/>
      <c r="F12" s="27"/>
      <c r="G12" s="28"/>
      <c r="H12" s="29">
        <f t="shared" ref="H12" si="0">J12-I12</f>
        <v>0</v>
      </c>
      <c r="I12" s="30"/>
      <c r="J12" s="30"/>
    </row>
    <row r="13" spans="1:10" x14ac:dyDescent="0.2">
      <c r="A13" s="31">
        <v>45843</v>
      </c>
      <c r="B13" s="31" t="s">
        <v>14</v>
      </c>
      <c r="C13" s="32"/>
      <c r="D13" s="32"/>
      <c r="E13" s="32"/>
      <c r="F13" s="32"/>
      <c r="G13" s="33"/>
      <c r="H13" s="34">
        <f t="shared" ref="H13:H38" si="1">J13-I13</f>
        <v>0</v>
      </c>
      <c r="I13" s="35"/>
      <c r="J13" s="35"/>
    </row>
    <row r="14" spans="1:10" x14ac:dyDescent="0.2">
      <c r="A14" s="31">
        <v>45844</v>
      </c>
      <c r="B14" s="31" t="s">
        <v>16</v>
      </c>
      <c r="C14" s="32"/>
      <c r="D14" s="32"/>
      <c r="E14" s="32"/>
      <c r="F14" s="32"/>
      <c r="G14" s="33"/>
      <c r="H14" s="34">
        <f t="shared" si="1"/>
        <v>0</v>
      </c>
      <c r="I14" s="35"/>
      <c r="J14" s="35"/>
    </row>
    <row r="15" spans="1:10" x14ac:dyDescent="0.2">
      <c r="A15" s="22">
        <v>45845</v>
      </c>
      <c r="B15" s="22" t="s">
        <v>17</v>
      </c>
      <c r="C15" s="27"/>
      <c r="D15" s="27"/>
      <c r="E15" s="27"/>
      <c r="F15" s="27"/>
      <c r="G15" s="28"/>
      <c r="H15" s="29">
        <f t="shared" si="1"/>
        <v>0</v>
      </c>
      <c r="I15" s="30"/>
      <c r="J15" s="30"/>
    </row>
    <row r="16" spans="1:10" x14ac:dyDescent="0.2">
      <c r="A16" s="22">
        <v>45846</v>
      </c>
      <c r="B16" s="22" t="s">
        <v>18</v>
      </c>
      <c r="C16" s="27"/>
      <c r="D16" s="27"/>
      <c r="E16" s="27"/>
      <c r="F16" s="27"/>
      <c r="G16" s="28"/>
      <c r="H16" s="29">
        <f t="shared" si="1"/>
        <v>0</v>
      </c>
      <c r="I16" s="30"/>
      <c r="J16" s="30"/>
    </row>
    <row r="17" spans="1:10" x14ac:dyDescent="0.2">
      <c r="A17" s="22">
        <v>45847</v>
      </c>
      <c r="B17" s="22" t="s">
        <v>19</v>
      </c>
      <c r="C17" s="27"/>
      <c r="D17" s="27"/>
      <c r="E17" s="27"/>
      <c r="F17" s="27"/>
      <c r="G17" s="28"/>
      <c r="H17" s="29">
        <f t="shared" ref="H17" si="2">J17-I17</f>
        <v>0</v>
      </c>
      <c r="I17" s="30"/>
      <c r="J17" s="30"/>
    </row>
    <row r="18" spans="1:10" x14ac:dyDescent="0.2">
      <c r="A18" s="22">
        <v>45848</v>
      </c>
      <c r="B18" s="22" t="s">
        <v>20</v>
      </c>
      <c r="C18" s="27"/>
      <c r="D18" s="27"/>
      <c r="E18" s="27"/>
      <c r="F18" s="27"/>
      <c r="G18" s="28"/>
      <c r="H18" s="29">
        <f t="shared" si="1"/>
        <v>0</v>
      </c>
      <c r="I18" s="30"/>
      <c r="J18" s="30"/>
    </row>
    <row r="19" spans="1:10" x14ac:dyDescent="0.2">
      <c r="A19" s="22">
        <v>45849</v>
      </c>
      <c r="B19" s="22" t="s">
        <v>11</v>
      </c>
      <c r="C19" s="27"/>
      <c r="D19" s="27"/>
      <c r="E19" s="27"/>
      <c r="F19" s="27"/>
      <c r="G19" s="28"/>
      <c r="H19" s="29">
        <f t="shared" si="1"/>
        <v>0</v>
      </c>
      <c r="I19" s="30"/>
      <c r="J19" s="30"/>
    </row>
    <row r="20" spans="1:10" x14ac:dyDescent="0.2">
      <c r="A20" s="31">
        <v>45850</v>
      </c>
      <c r="B20" s="31" t="s">
        <v>14</v>
      </c>
      <c r="C20" s="32"/>
      <c r="D20" s="32"/>
      <c r="E20" s="32"/>
      <c r="F20" s="32"/>
      <c r="G20" s="33"/>
      <c r="H20" s="34">
        <f t="shared" si="1"/>
        <v>0</v>
      </c>
      <c r="I20" s="35"/>
      <c r="J20" s="35"/>
    </row>
    <row r="21" spans="1:10" x14ac:dyDescent="0.2">
      <c r="A21" s="31">
        <v>45851</v>
      </c>
      <c r="B21" s="31" t="s">
        <v>16</v>
      </c>
      <c r="C21" s="32"/>
      <c r="D21" s="32"/>
      <c r="E21" s="32"/>
      <c r="F21" s="32"/>
      <c r="G21" s="33"/>
      <c r="H21" s="34">
        <f t="shared" si="1"/>
        <v>0</v>
      </c>
      <c r="I21" s="35"/>
      <c r="J21" s="35"/>
    </row>
    <row r="22" spans="1:10" x14ac:dyDescent="0.2">
      <c r="A22" s="22">
        <v>45852</v>
      </c>
      <c r="B22" s="22" t="s">
        <v>17</v>
      </c>
      <c r="C22" s="27"/>
      <c r="D22" s="27"/>
      <c r="E22" s="27"/>
      <c r="F22" s="27"/>
      <c r="G22" s="28"/>
      <c r="H22" s="29">
        <f t="shared" si="1"/>
        <v>0</v>
      </c>
      <c r="I22" s="30"/>
      <c r="J22" s="30"/>
    </row>
    <row r="23" spans="1:10" x14ac:dyDescent="0.2">
      <c r="A23" s="22">
        <v>45853</v>
      </c>
      <c r="B23" s="22" t="s">
        <v>18</v>
      </c>
      <c r="C23" s="27"/>
      <c r="D23" s="27"/>
      <c r="E23" s="27"/>
      <c r="F23" s="27"/>
      <c r="G23" s="28"/>
      <c r="H23" s="29">
        <f t="shared" si="1"/>
        <v>0</v>
      </c>
      <c r="I23" s="30"/>
      <c r="J23" s="30"/>
    </row>
    <row r="24" spans="1:10" x14ac:dyDescent="0.2">
      <c r="A24" s="22">
        <v>45854</v>
      </c>
      <c r="B24" s="22" t="s">
        <v>19</v>
      </c>
      <c r="C24" s="27"/>
      <c r="D24" s="27"/>
      <c r="E24" s="27"/>
      <c r="F24" s="27"/>
      <c r="G24" s="28"/>
      <c r="H24" s="29">
        <f t="shared" si="1"/>
        <v>0</v>
      </c>
      <c r="I24" s="30"/>
      <c r="J24" s="30"/>
    </row>
    <row r="25" spans="1:10" x14ac:dyDescent="0.2">
      <c r="A25" s="22">
        <v>45855</v>
      </c>
      <c r="B25" s="22" t="s">
        <v>20</v>
      </c>
      <c r="C25" s="27"/>
      <c r="D25" s="27"/>
      <c r="E25" s="27"/>
      <c r="F25" s="27"/>
      <c r="G25" s="28"/>
      <c r="H25" s="29">
        <f t="shared" si="1"/>
        <v>0</v>
      </c>
      <c r="I25" s="30"/>
      <c r="J25" s="30"/>
    </row>
    <row r="26" spans="1:10" x14ac:dyDescent="0.2">
      <c r="A26" s="22">
        <v>45856</v>
      </c>
      <c r="B26" s="22" t="s">
        <v>11</v>
      </c>
      <c r="C26" s="27"/>
      <c r="D26" s="27"/>
      <c r="E26" s="27"/>
      <c r="F26" s="27"/>
      <c r="G26" s="28"/>
      <c r="H26" s="29">
        <f t="shared" si="1"/>
        <v>0</v>
      </c>
      <c r="I26" s="30"/>
      <c r="J26" s="30"/>
    </row>
    <row r="27" spans="1:10" x14ac:dyDescent="0.2">
      <c r="A27" s="31">
        <v>45857</v>
      </c>
      <c r="B27" s="31" t="s">
        <v>14</v>
      </c>
      <c r="C27" s="32"/>
      <c r="D27" s="32"/>
      <c r="E27" s="32"/>
      <c r="F27" s="32"/>
      <c r="G27" s="33"/>
      <c r="H27" s="34">
        <f t="shared" si="1"/>
        <v>0</v>
      </c>
      <c r="I27" s="35"/>
      <c r="J27" s="35"/>
    </row>
    <row r="28" spans="1:10" x14ac:dyDescent="0.2">
      <c r="A28" s="31">
        <v>45858</v>
      </c>
      <c r="B28" s="31" t="s">
        <v>16</v>
      </c>
      <c r="C28" s="32"/>
      <c r="D28" s="32"/>
      <c r="E28" s="32"/>
      <c r="F28" s="32"/>
      <c r="G28" s="33"/>
      <c r="H28" s="34">
        <f t="shared" si="1"/>
        <v>0</v>
      </c>
      <c r="I28" s="35"/>
      <c r="J28" s="35"/>
    </row>
    <row r="29" spans="1:10" x14ac:dyDescent="0.2">
      <c r="A29" s="22">
        <v>45859</v>
      </c>
      <c r="B29" s="22" t="s">
        <v>17</v>
      </c>
      <c r="C29" s="27"/>
      <c r="D29" s="27"/>
      <c r="E29" s="27"/>
      <c r="F29" s="27"/>
      <c r="G29" s="28"/>
      <c r="H29" s="29">
        <f t="shared" si="1"/>
        <v>0</v>
      </c>
      <c r="I29" s="30"/>
      <c r="J29" s="30"/>
    </row>
    <row r="30" spans="1:10" x14ac:dyDescent="0.2">
      <c r="A30" s="22">
        <v>45860</v>
      </c>
      <c r="B30" s="22" t="s">
        <v>18</v>
      </c>
      <c r="C30" s="27"/>
      <c r="D30" s="27"/>
      <c r="E30" s="27"/>
      <c r="F30" s="27"/>
      <c r="G30" s="28"/>
      <c r="H30" s="29">
        <f t="shared" si="1"/>
        <v>0</v>
      </c>
      <c r="I30" s="30"/>
      <c r="J30" s="30"/>
    </row>
    <row r="31" spans="1:10" x14ac:dyDescent="0.2">
      <c r="A31" s="22">
        <v>45861</v>
      </c>
      <c r="B31" s="22" t="s">
        <v>19</v>
      </c>
      <c r="C31" s="27"/>
      <c r="D31" s="27"/>
      <c r="E31" s="27"/>
      <c r="F31" s="27"/>
      <c r="G31" s="28"/>
      <c r="H31" s="29">
        <f t="shared" si="1"/>
        <v>0</v>
      </c>
      <c r="I31" s="30"/>
      <c r="J31" s="30"/>
    </row>
    <row r="32" spans="1:10" x14ac:dyDescent="0.2">
      <c r="A32" s="22">
        <v>45862</v>
      </c>
      <c r="B32" s="22" t="s">
        <v>20</v>
      </c>
      <c r="C32" s="27"/>
      <c r="D32" s="27"/>
      <c r="E32" s="27"/>
      <c r="F32" s="27"/>
      <c r="G32" s="28"/>
      <c r="H32" s="29">
        <f t="shared" si="1"/>
        <v>0</v>
      </c>
      <c r="I32" s="30"/>
      <c r="J32" s="30"/>
    </row>
    <row r="33" spans="1:10" x14ac:dyDescent="0.2">
      <c r="A33" s="22">
        <v>45863</v>
      </c>
      <c r="B33" s="22" t="s">
        <v>11</v>
      </c>
      <c r="C33" s="27"/>
      <c r="D33" s="27"/>
      <c r="E33" s="27"/>
      <c r="F33" s="27"/>
      <c r="G33" s="28"/>
      <c r="H33" s="29">
        <f t="shared" si="1"/>
        <v>0</v>
      </c>
      <c r="I33" s="30"/>
      <c r="J33" s="30"/>
    </row>
    <row r="34" spans="1:10" x14ac:dyDescent="0.2">
      <c r="A34" s="31">
        <v>45864</v>
      </c>
      <c r="B34" s="31" t="s">
        <v>14</v>
      </c>
      <c r="C34" s="32"/>
      <c r="D34" s="32"/>
      <c r="E34" s="32"/>
      <c r="F34" s="32"/>
      <c r="G34" s="33"/>
      <c r="H34" s="34">
        <f t="shared" si="1"/>
        <v>0</v>
      </c>
      <c r="I34" s="35"/>
      <c r="J34" s="35"/>
    </row>
    <row r="35" spans="1:10" x14ac:dyDescent="0.2">
      <c r="A35" s="31">
        <v>45865</v>
      </c>
      <c r="B35" s="31" t="s">
        <v>16</v>
      </c>
      <c r="C35" s="32"/>
      <c r="D35" s="32"/>
      <c r="E35" s="32"/>
      <c r="F35" s="32"/>
      <c r="G35" s="33"/>
      <c r="H35" s="34">
        <f t="shared" si="1"/>
        <v>0</v>
      </c>
      <c r="I35" s="35"/>
      <c r="J35" s="35"/>
    </row>
    <row r="36" spans="1:10" x14ac:dyDescent="0.2">
      <c r="A36" s="22">
        <v>45866</v>
      </c>
      <c r="B36" s="22" t="s">
        <v>17</v>
      </c>
      <c r="C36" s="27"/>
      <c r="D36" s="27"/>
      <c r="E36" s="27"/>
      <c r="F36" s="27"/>
      <c r="G36" s="28"/>
      <c r="H36" s="29">
        <f t="shared" si="1"/>
        <v>0</v>
      </c>
      <c r="I36" s="30"/>
      <c r="J36" s="30"/>
    </row>
    <row r="37" spans="1:10" x14ac:dyDescent="0.2">
      <c r="A37" s="22">
        <v>45867</v>
      </c>
      <c r="B37" s="22" t="s">
        <v>18</v>
      </c>
      <c r="C37" s="27"/>
      <c r="D37" s="27"/>
      <c r="E37" s="27"/>
      <c r="F37" s="27"/>
      <c r="G37" s="28"/>
      <c r="H37" s="29">
        <f t="shared" si="1"/>
        <v>0</v>
      </c>
      <c r="I37" s="30"/>
      <c r="J37" s="30"/>
    </row>
    <row r="38" spans="1:10" x14ac:dyDescent="0.2">
      <c r="A38" s="22">
        <v>45868</v>
      </c>
      <c r="B38" s="22" t="s">
        <v>19</v>
      </c>
      <c r="C38" s="27"/>
      <c r="D38" s="27"/>
      <c r="E38" s="27"/>
      <c r="F38" s="27"/>
      <c r="G38" s="28"/>
      <c r="H38" s="29">
        <f t="shared" si="1"/>
        <v>0</v>
      </c>
      <c r="I38" s="30"/>
      <c r="J38" s="30"/>
    </row>
    <row r="39" spans="1:10" ht="13.2" thickBot="1" x14ac:dyDescent="0.25">
      <c r="A39" s="22">
        <v>45869</v>
      </c>
      <c r="B39" s="22" t="s">
        <v>20</v>
      </c>
      <c r="C39" s="27"/>
      <c r="D39" s="27"/>
      <c r="E39" s="27"/>
      <c r="F39" s="27"/>
      <c r="G39" s="28"/>
      <c r="H39" s="29">
        <f>J39-I39</f>
        <v>0</v>
      </c>
      <c r="I39" s="30"/>
      <c r="J39" s="30"/>
    </row>
    <row r="40" spans="1:10" ht="13.95" customHeight="1" thickBot="1" x14ac:dyDescent="0.3">
      <c r="A40" s="3"/>
      <c r="B40" s="1"/>
      <c r="C40" s="1"/>
      <c r="D40" s="1"/>
      <c r="E40" s="1"/>
      <c r="F40" s="1"/>
      <c r="G40" s="1"/>
      <c r="H40" s="36"/>
      <c r="I40" s="37"/>
    </row>
    <row r="41" spans="1:10" ht="13.95" customHeight="1" x14ac:dyDescent="0.25">
      <c r="A41" s="4"/>
      <c r="B41" s="4"/>
      <c r="C41" s="5"/>
      <c r="D41" s="6"/>
      <c r="E41" s="7" t="s">
        <v>21</v>
      </c>
      <c r="F41" s="8">
        <v>184</v>
      </c>
      <c r="H41" s="40"/>
    </row>
    <row r="42" spans="1:10" ht="13.95" customHeight="1" thickBot="1" x14ac:dyDescent="0.3">
      <c r="A42" s="4"/>
      <c r="B42" s="4"/>
      <c r="C42" s="9"/>
      <c r="D42" s="2"/>
      <c r="E42" s="10" t="s">
        <v>22</v>
      </c>
      <c r="F42" s="11">
        <v>23</v>
      </c>
      <c r="H42" s="40"/>
    </row>
    <row r="43" spans="1:10" ht="13.95" customHeight="1" thickBot="1" x14ac:dyDescent="0.3">
      <c r="A43" s="119" t="s">
        <v>23</v>
      </c>
      <c r="B43" s="119"/>
      <c r="C43" s="119"/>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20" t="s">
        <v>25</v>
      </c>
      <c r="B45" s="120"/>
      <c r="C45" s="120"/>
      <c r="D45" s="16"/>
      <c r="E45" s="17" t="s">
        <v>26</v>
      </c>
      <c r="F45" s="18">
        <f>SUMIF(F9:F39,"Non-Billable",H9:H39)</f>
        <v>0</v>
      </c>
      <c r="H45" s="40"/>
    </row>
    <row r="46" spans="1:10" ht="14.4" thickBot="1" x14ac:dyDescent="0.3">
      <c r="A46" s="2"/>
      <c r="B46" s="2"/>
      <c r="C46" s="2"/>
      <c r="D46" s="2"/>
      <c r="E46" s="19" t="s">
        <v>27</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47" priority="14" operator="containsText" text="Religious Leave">
      <formula>NOT(ISERROR(SEARCH("Religious Leave",A6)))</formula>
    </cfRule>
    <cfRule type="containsText" dxfId="46" priority="15" operator="containsText" text="Birthday Leave">
      <formula>NOT(ISERROR(SEARCH("Birthday Leave",A6)))</formula>
    </cfRule>
    <cfRule type="containsText" dxfId="45" priority="16" operator="containsText" text="Study Leave">
      <formula>NOT(ISERROR(SEARCH("Study Leave",A6)))</formula>
    </cfRule>
    <cfRule type="containsText" dxfId="44" priority="17" operator="containsText" text="Family Responsibility Leave">
      <formula>NOT(ISERROR(SEARCH("Family Responsibility Leave",A6)))</formula>
    </cfRule>
    <cfRule type="containsText" dxfId="43" priority="18" operator="containsText" text="Sick Leave">
      <formula>NOT(ISERROR(SEARCH("Sick Leave",A6)))</formula>
    </cfRule>
    <cfRule type="containsText" dxfId="42" priority="19" operator="containsText" text="Annual Leave">
      <formula>NOT(ISERROR(SEARCH("Annual Leave",A6)))</formula>
    </cfRule>
    <cfRule type="cellIs" dxfId="41" priority="20"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 operator="containsText" text="Religious Leave">
      <formula>NOT(ISERROR(SEARCH("Religious Leave",D40)))</formula>
    </cfRule>
    <cfRule type="containsText" dxfId="37" priority="2" operator="containsText" text="Birthday Leave">
      <formula>NOT(ISERROR(SEARCH("Birthday Leave",D40)))</formula>
    </cfRule>
    <cfRule type="containsText" dxfId="36" priority="3" operator="containsText" text="Study Leave">
      <formula>NOT(ISERROR(SEARCH("Study Leave",D40)))</formula>
    </cfRule>
    <cfRule type="containsText" dxfId="35" priority="4" operator="containsText" text="Family Responsibility Leave">
      <formula>NOT(ISERROR(SEARCH("Family Responsibility Leave",D40)))</formula>
    </cfRule>
    <cfRule type="containsText" dxfId="34" priority="5" operator="containsText" text="Sick Leave">
      <formula>NOT(ISERROR(SEARCH("Sick Leave",D40)))</formula>
    </cfRule>
    <cfRule type="containsText" dxfId="33" priority="6" operator="containsText" text="Annual Leave">
      <formula>NOT(ISERROR(SEARCH("Annual Leave",D40)))</formula>
    </cfRule>
    <cfRule type="cellIs" dxfId="32" priority="7" operator="equal">
      <formula>"Public Holiday"</formula>
    </cfRule>
  </conditionalFormatting>
  <dataValidations count="2">
    <dataValidation type="time" allowBlank="1" showErrorMessage="1" errorTitle="Invlaid Time Format" error="Please input a valid time. For e.g. 08:00" sqref="I11:J39" xr:uid="{81BC4890-4524-4142-A9B9-69FAFFB0E5CE}">
      <formula1>0</formula1>
      <formula2>0.999988425925926</formula2>
    </dataValidation>
    <dataValidation type="time" allowBlank="1" showErrorMessage="1" errorTitle="Invalid Time Format" error="Please input a valid time. For e.g. 08:00" sqref="I9:J10" xr:uid="{99D57180-5C01-4272-A84B-165A7128D72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142AB6D-2C06-4B9B-9ABE-55BAC187A508}">
          <x14:formula1>
            <xm:f>Key!$K$3:$K$4</xm:f>
          </x14:formula1>
          <xm:sqref>F9:F39</xm:sqref>
        </x14:dataValidation>
        <x14:dataValidation type="list" allowBlank="1" showInputMessage="1" showErrorMessage="1" xr:uid="{5C5F83BA-9649-414D-9B5C-5ED3D81B12A6}">
          <x14:formula1>
            <xm:f>Key!$B$2:$B$55</xm:f>
          </x14:formula1>
          <xm:sqref>C11:C39</xm:sqref>
        </x14:dataValidation>
        <x14:dataValidation type="list" allowBlank="1" showInputMessage="1" showErrorMessage="1" xr:uid="{2695E27C-DD60-4A5C-9DB5-B57EE9107204}">
          <x14:formula1>
            <xm:f>Key!$F$3:$F$43</xm:f>
          </x14:formula1>
          <xm:sqref>E11:E39</xm:sqref>
        </x14:dataValidation>
        <x14:dataValidation type="list" allowBlank="1" showInputMessage="1" showErrorMessage="1" xr:uid="{A41922FB-F5DC-441A-BE8B-CEC1E90C261B}">
          <x14:formula1>
            <xm:f>Key!$F$3:$F$46</xm:f>
          </x14:formula1>
          <xm:sqref>E9:E10</xm:sqref>
        </x14:dataValidation>
        <x14:dataValidation type="list" allowBlank="1" showInputMessage="1" showErrorMessage="1" xr:uid="{50ADD4F9-3582-48D4-9C7B-FE16B0BB7F7D}">
          <x14:formula1>
            <xm:f>Key!$B$2:$B$50</xm:f>
          </x14:formula1>
          <xm:sqref>C9:C10</xm:sqref>
        </x14:dataValidation>
        <x14:dataValidation type="list" allowBlank="1" showInputMessage="1" showErrorMessage="1" xr:uid="{59DFADC5-E3B8-482B-925E-D0C90DB0047C}">
          <x14:formula1>
            <xm:f>Key!$H$3:$H$81</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49"/>
  <sheetViews>
    <sheetView zoomScale="75" zoomScaleNormal="75" workbookViewId="0">
      <selection activeCell="D37" sqref="D37"/>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94</v>
      </c>
      <c r="B6" s="74">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45870</v>
      </c>
      <c r="B9" s="22" t="s">
        <v>11</v>
      </c>
      <c r="C9" s="27" t="s">
        <v>130</v>
      </c>
      <c r="D9" s="27" t="s">
        <v>108</v>
      </c>
      <c r="E9" s="27" t="s">
        <v>31</v>
      </c>
      <c r="F9" s="27" t="s">
        <v>13</v>
      </c>
      <c r="G9" s="28" t="s">
        <v>109</v>
      </c>
      <c r="H9" s="29">
        <f t="shared" ref="H9" si="0">J9-I9</f>
        <v>0.33333333333333331</v>
      </c>
      <c r="I9" s="30">
        <v>0.33333333333333331</v>
      </c>
      <c r="J9" s="30">
        <v>0.66666666666666663</v>
      </c>
    </row>
    <row r="10" spans="1:10" x14ac:dyDescent="0.2">
      <c r="A10" s="31">
        <v>45871</v>
      </c>
      <c r="B10" s="31" t="s">
        <v>14</v>
      </c>
      <c r="C10" s="32"/>
      <c r="D10" s="32"/>
      <c r="E10" s="32"/>
      <c r="F10" s="32"/>
      <c r="G10" s="33"/>
      <c r="H10" s="34">
        <f>J10-I10</f>
        <v>0</v>
      </c>
      <c r="I10" s="35"/>
      <c r="J10" s="35"/>
    </row>
    <row r="11" spans="1:10" x14ac:dyDescent="0.2">
      <c r="A11" s="31">
        <v>45872</v>
      </c>
      <c r="B11" s="31" t="s">
        <v>16</v>
      </c>
      <c r="C11" s="32"/>
      <c r="D11" s="32"/>
      <c r="E11" s="32"/>
      <c r="F11" s="32"/>
      <c r="G11" s="33"/>
      <c r="H11" s="34">
        <f t="shared" ref="H11:H36" si="1">J11-I11</f>
        <v>0</v>
      </c>
      <c r="I11" s="35"/>
      <c r="J11" s="35"/>
    </row>
    <row r="12" spans="1:10" x14ac:dyDescent="0.2">
      <c r="A12" s="22">
        <v>45873</v>
      </c>
      <c r="B12" s="22" t="s">
        <v>17</v>
      </c>
      <c r="C12" s="27"/>
      <c r="D12" s="27"/>
      <c r="E12" s="27"/>
      <c r="F12" s="27"/>
      <c r="G12" s="28"/>
      <c r="H12" s="29">
        <f t="shared" si="1"/>
        <v>0</v>
      </c>
      <c r="I12" s="30"/>
      <c r="J12" s="30"/>
    </row>
    <row r="13" spans="1:10" x14ac:dyDescent="0.2">
      <c r="A13" s="22">
        <v>45874</v>
      </c>
      <c r="B13" s="22" t="s">
        <v>18</v>
      </c>
      <c r="C13" s="27"/>
      <c r="D13" s="27"/>
      <c r="E13" s="27"/>
      <c r="F13" s="27"/>
      <c r="G13" s="28"/>
      <c r="H13" s="29">
        <f t="shared" si="1"/>
        <v>0</v>
      </c>
      <c r="I13" s="30"/>
      <c r="J13" s="30"/>
    </row>
    <row r="14" spans="1:10" x14ac:dyDescent="0.2">
      <c r="A14" s="22">
        <v>45875</v>
      </c>
      <c r="B14" s="22" t="s">
        <v>19</v>
      </c>
      <c r="C14" s="27"/>
      <c r="D14" s="27"/>
      <c r="E14" s="27"/>
      <c r="F14" s="27"/>
      <c r="G14" s="28"/>
      <c r="H14" s="29">
        <f t="shared" si="1"/>
        <v>0</v>
      </c>
      <c r="I14" s="30"/>
      <c r="J14" s="30"/>
    </row>
    <row r="15" spans="1:10" x14ac:dyDescent="0.2">
      <c r="A15" s="22">
        <v>45876</v>
      </c>
      <c r="B15" s="22" t="s">
        <v>20</v>
      </c>
      <c r="C15" s="27"/>
      <c r="D15" s="27"/>
      <c r="E15" s="27"/>
      <c r="F15" s="27"/>
      <c r="G15" s="28"/>
      <c r="H15" s="29">
        <f t="shared" si="1"/>
        <v>0</v>
      </c>
      <c r="I15" s="30"/>
      <c r="J15" s="30"/>
    </row>
    <row r="16" spans="1:10" x14ac:dyDescent="0.2">
      <c r="A16" s="22">
        <v>45877</v>
      </c>
      <c r="B16" s="22" t="s">
        <v>11</v>
      </c>
      <c r="C16" s="27"/>
      <c r="D16" s="27"/>
      <c r="E16" s="27"/>
      <c r="F16" s="27"/>
      <c r="G16" s="28"/>
      <c r="H16" s="29">
        <f t="shared" si="1"/>
        <v>0</v>
      </c>
      <c r="I16" s="30"/>
      <c r="J16" s="30"/>
    </row>
    <row r="17" spans="1:10" x14ac:dyDescent="0.2">
      <c r="A17" s="31">
        <v>45878</v>
      </c>
      <c r="B17" s="31" t="s">
        <v>14</v>
      </c>
      <c r="C17" s="32"/>
      <c r="D17" s="32"/>
      <c r="E17" s="32"/>
      <c r="F17" s="32"/>
      <c r="G17" s="33" t="s">
        <v>197</v>
      </c>
      <c r="H17" s="34">
        <f t="shared" si="1"/>
        <v>0</v>
      </c>
      <c r="I17" s="35"/>
      <c r="J17" s="35"/>
    </row>
    <row r="18" spans="1:10" x14ac:dyDescent="0.2">
      <c r="A18" s="31">
        <v>45879</v>
      </c>
      <c r="B18" s="31" t="s">
        <v>16</v>
      </c>
      <c r="C18" s="32"/>
      <c r="D18" s="32"/>
      <c r="E18" s="32"/>
      <c r="F18" s="32"/>
      <c r="G18" s="33"/>
      <c r="H18" s="34">
        <f t="shared" si="1"/>
        <v>0</v>
      </c>
      <c r="I18" s="35"/>
      <c r="J18" s="35"/>
    </row>
    <row r="19" spans="1:10" x14ac:dyDescent="0.2">
      <c r="A19" s="22">
        <v>45880</v>
      </c>
      <c r="B19" s="22" t="s">
        <v>17</v>
      </c>
      <c r="C19" s="27"/>
      <c r="D19" s="27"/>
      <c r="E19" s="27"/>
      <c r="F19" s="27"/>
      <c r="G19" s="28"/>
      <c r="H19" s="29">
        <f t="shared" si="1"/>
        <v>0</v>
      </c>
      <c r="I19" s="30"/>
      <c r="J19" s="30"/>
    </row>
    <row r="20" spans="1:10" x14ac:dyDescent="0.2">
      <c r="A20" s="22">
        <v>45881</v>
      </c>
      <c r="B20" s="22" t="s">
        <v>18</v>
      </c>
      <c r="C20" s="27"/>
      <c r="D20" s="27"/>
      <c r="E20" s="27"/>
      <c r="F20" s="27"/>
      <c r="G20" s="28"/>
      <c r="H20" s="29">
        <f t="shared" si="1"/>
        <v>0</v>
      </c>
      <c r="I20" s="30"/>
      <c r="J20" s="30"/>
    </row>
    <row r="21" spans="1:10" x14ac:dyDescent="0.2">
      <c r="A21" s="22">
        <v>45882</v>
      </c>
      <c r="B21" s="22" t="s">
        <v>19</v>
      </c>
      <c r="C21" s="27"/>
      <c r="D21" s="27"/>
      <c r="E21" s="27"/>
      <c r="F21" s="27"/>
      <c r="G21" s="28"/>
      <c r="H21" s="29">
        <f t="shared" si="1"/>
        <v>0</v>
      </c>
      <c r="I21" s="30"/>
      <c r="J21" s="30"/>
    </row>
    <row r="22" spans="1:10" x14ac:dyDescent="0.2">
      <c r="A22" s="22">
        <v>45883</v>
      </c>
      <c r="B22" s="22" t="s">
        <v>20</v>
      </c>
      <c r="C22" s="27"/>
      <c r="D22" s="27"/>
      <c r="E22" s="27"/>
      <c r="F22" s="27"/>
      <c r="G22" s="28"/>
      <c r="H22" s="29">
        <f t="shared" si="1"/>
        <v>0</v>
      </c>
      <c r="I22" s="30"/>
      <c r="J22" s="30"/>
    </row>
    <row r="23" spans="1:10" x14ac:dyDescent="0.2">
      <c r="A23" s="22">
        <v>45884</v>
      </c>
      <c r="B23" s="22" t="s">
        <v>11</v>
      </c>
      <c r="C23" s="27"/>
      <c r="D23" s="27"/>
      <c r="E23" s="27"/>
      <c r="F23" s="27"/>
      <c r="G23" s="28"/>
      <c r="H23" s="29">
        <f t="shared" si="1"/>
        <v>0</v>
      </c>
      <c r="I23" s="30"/>
      <c r="J23" s="30"/>
    </row>
    <row r="24" spans="1:10" x14ac:dyDescent="0.2">
      <c r="A24" s="31">
        <v>45885</v>
      </c>
      <c r="B24" s="31" t="s">
        <v>14</v>
      </c>
      <c r="C24" s="32"/>
      <c r="D24" s="32"/>
      <c r="E24" s="32"/>
      <c r="F24" s="32"/>
      <c r="G24" s="33"/>
      <c r="H24" s="34">
        <f t="shared" si="1"/>
        <v>0</v>
      </c>
      <c r="I24" s="35"/>
      <c r="J24" s="35"/>
    </row>
    <row r="25" spans="1:10" x14ac:dyDescent="0.2">
      <c r="A25" s="31">
        <v>45886</v>
      </c>
      <c r="B25" s="31" t="s">
        <v>16</v>
      </c>
      <c r="C25" s="32"/>
      <c r="D25" s="32"/>
      <c r="E25" s="32"/>
      <c r="F25" s="32"/>
      <c r="G25" s="33"/>
      <c r="H25" s="34">
        <f t="shared" si="1"/>
        <v>0</v>
      </c>
      <c r="I25" s="35"/>
      <c r="J25" s="35"/>
    </row>
    <row r="26" spans="1:10" x14ac:dyDescent="0.2">
      <c r="A26" s="22">
        <v>45887</v>
      </c>
      <c r="B26" s="22" t="s">
        <v>17</v>
      </c>
      <c r="C26" s="27"/>
      <c r="D26" s="27"/>
      <c r="E26" s="27"/>
      <c r="F26" s="27"/>
      <c r="G26" s="28"/>
      <c r="H26" s="29">
        <f t="shared" si="1"/>
        <v>0</v>
      </c>
      <c r="I26" s="30"/>
      <c r="J26" s="30"/>
    </row>
    <row r="27" spans="1:10" x14ac:dyDescent="0.2">
      <c r="A27" s="22">
        <v>45888</v>
      </c>
      <c r="B27" s="22" t="s">
        <v>18</v>
      </c>
      <c r="C27" s="27"/>
      <c r="D27" s="27"/>
      <c r="E27" s="27"/>
      <c r="F27" s="27"/>
      <c r="G27" s="28"/>
      <c r="H27" s="29">
        <f t="shared" si="1"/>
        <v>0</v>
      </c>
      <c r="I27" s="30"/>
      <c r="J27" s="30"/>
    </row>
    <row r="28" spans="1:10" x14ac:dyDescent="0.2">
      <c r="A28" s="22">
        <v>45889</v>
      </c>
      <c r="B28" s="22" t="s">
        <v>19</v>
      </c>
      <c r="C28" s="27"/>
      <c r="D28" s="27"/>
      <c r="E28" s="27"/>
      <c r="F28" s="27"/>
      <c r="G28" s="28"/>
      <c r="H28" s="29">
        <f t="shared" si="1"/>
        <v>0</v>
      </c>
      <c r="I28" s="30"/>
      <c r="J28" s="30"/>
    </row>
    <row r="29" spans="1:10" x14ac:dyDescent="0.2">
      <c r="A29" s="22">
        <v>45890</v>
      </c>
      <c r="B29" s="22" t="s">
        <v>20</v>
      </c>
      <c r="C29" s="27"/>
      <c r="D29" s="27"/>
      <c r="E29" s="27"/>
      <c r="F29" s="27"/>
      <c r="G29" s="28"/>
      <c r="H29" s="29">
        <f t="shared" si="1"/>
        <v>0</v>
      </c>
      <c r="I29" s="30"/>
      <c r="J29" s="30"/>
    </row>
    <row r="30" spans="1:10" x14ac:dyDescent="0.2">
      <c r="A30" s="22">
        <v>45891</v>
      </c>
      <c r="B30" s="22" t="s">
        <v>11</v>
      </c>
      <c r="C30" s="27"/>
      <c r="D30" s="27"/>
      <c r="E30" s="27"/>
      <c r="F30" s="27"/>
      <c r="G30" s="28"/>
      <c r="H30" s="29">
        <f t="shared" si="1"/>
        <v>0</v>
      </c>
      <c r="I30" s="30"/>
      <c r="J30" s="30"/>
    </row>
    <row r="31" spans="1:10" x14ac:dyDescent="0.2">
      <c r="A31" s="31">
        <v>45892</v>
      </c>
      <c r="B31" s="31" t="s">
        <v>14</v>
      </c>
      <c r="C31" s="32"/>
      <c r="D31" s="32"/>
      <c r="E31" s="32"/>
      <c r="F31" s="32"/>
      <c r="G31" s="33"/>
      <c r="H31" s="34">
        <f t="shared" si="1"/>
        <v>0</v>
      </c>
      <c r="I31" s="35"/>
      <c r="J31" s="35"/>
    </row>
    <row r="32" spans="1:10" x14ac:dyDescent="0.2">
      <c r="A32" s="31">
        <v>45893</v>
      </c>
      <c r="B32" s="31" t="s">
        <v>16</v>
      </c>
      <c r="C32" s="32"/>
      <c r="D32" s="32"/>
      <c r="E32" s="32"/>
      <c r="F32" s="32"/>
      <c r="G32" s="33"/>
      <c r="H32" s="34">
        <f t="shared" si="1"/>
        <v>0</v>
      </c>
      <c r="I32" s="35"/>
      <c r="J32" s="35"/>
    </row>
    <row r="33" spans="1:10" x14ac:dyDescent="0.2">
      <c r="A33" s="22">
        <v>45894</v>
      </c>
      <c r="B33" s="22" t="s">
        <v>17</v>
      </c>
      <c r="C33" s="27"/>
      <c r="D33" s="27"/>
      <c r="E33" s="27"/>
      <c r="F33" s="27"/>
      <c r="G33" s="28"/>
      <c r="H33" s="29">
        <f t="shared" si="1"/>
        <v>0</v>
      </c>
      <c r="I33" s="30"/>
      <c r="J33" s="30"/>
    </row>
    <row r="34" spans="1:10" x14ac:dyDescent="0.2">
      <c r="A34" s="22">
        <v>45895</v>
      </c>
      <c r="B34" s="22" t="s">
        <v>18</v>
      </c>
      <c r="C34" s="27"/>
      <c r="D34" s="27"/>
      <c r="E34" s="27"/>
      <c r="F34" s="27"/>
      <c r="G34" s="28"/>
      <c r="H34" s="29">
        <f t="shared" si="1"/>
        <v>0</v>
      </c>
      <c r="I34" s="30"/>
      <c r="J34" s="30"/>
    </row>
    <row r="35" spans="1:10" x14ac:dyDescent="0.2">
      <c r="A35" s="22">
        <v>45896</v>
      </c>
      <c r="B35" s="22" t="s">
        <v>19</v>
      </c>
      <c r="C35" s="27"/>
      <c r="D35" s="27"/>
      <c r="E35" s="27"/>
      <c r="F35" s="27"/>
      <c r="G35" s="28"/>
      <c r="H35" s="29">
        <f t="shared" si="1"/>
        <v>0</v>
      </c>
      <c r="I35" s="30"/>
      <c r="J35" s="30"/>
    </row>
    <row r="36" spans="1:10" x14ac:dyDescent="0.2">
      <c r="A36" s="22">
        <v>45897</v>
      </c>
      <c r="B36" s="22" t="s">
        <v>20</v>
      </c>
      <c r="C36" s="27"/>
      <c r="D36" s="27"/>
      <c r="E36" s="27"/>
      <c r="F36" s="27"/>
      <c r="G36" s="28"/>
      <c r="H36" s="29">
        <f t="shared" si="1"/>
        <v>0</v>
      </c>
      <c r="I36" s="30"/>
      <c r="J36" s="30"/>
    </row>
    <row r="37" spans="1:10" x14ac:dyDescent="0.2">
      <c r="A37" s="22">
        <v>45898</v>
      </c>
      <c r="B37" s="22" t="s">
        <v>11</v>
      </c>
      <c r="C37" s="27"/>
      <c r="D37" s="27"/>
      <c r="E37" s="27"/>
      <c r="F37" s="27"/>
      <c r="G37" s="28"/>
      <c r="H37" s="29">
        <f t="shared" ref="H37:H39" si="2">J37-I37</f>
        <v>0</v>
      </c>
      <c r="I37" s="30"/>
      <c r="J37" s="30"/>
    </row>
    <row r="38" spans="1:10" x14ac:dyDescent="0.2">
      <c r="A38" s="31">
        <v>45899</v>
      </c>
      <c r="B38" s="31" t="s">
        <v>14</v>
      </c>
      <c r="C38" s="32"/>
      <c r="D38" s="32"/>
      <c r="E38" s="32"/>
      <c r="F38" s="32"/>
      <c r="G38" s="33"/>
      <c r="H38" s="34">
        <f t="shared" si="2"/>
        <v>0</v>
      </c>
      <c r="I38" s="35"/>
      <c r="J38" s="35"/>
    </row>
    <row r="39" spans="1:10" ht="13.95" customHeight="1" x14ac:dyDescent="0.2">
      <c r="A39" s="31">
        <v>45900</v>
      </c>
      <c r="B39" s="31" t="s">
        <v>16</v>
      </c>
      <c r="C39" s="32"/>
      <c r="D39" s="32"/>
      <c r="E39" s="32"/>
      <c r="F39" s="32"/>
      <c r="G39" s="33"/>
      <c r="H39" s="34">
        <f t="shared" si="2"/>
        <v>0</v>
      </c>
      <c r="I39" s="35"/>
      <c r="J39" s="35"/>
    </row>
    <row r="40" spans="1:10" ht="13.95" customHeight="1" thickBot="1" x14ac:dyDescent="0.3">
      <c r="A40" s="46"/>
      <c r="B40" s="45"/>
      <c r="C40" s="45"/>
      <c r="D40" s="45"/>
      <c r="E40" s="45"/>
      <c r="F40" s="45"/>
      <c r="G40" s="45"/>
      <c r="H40" s="36"/>
      <c r="I40" s="37"/>
    </row>
    <row r="41" spans="1:10" ht="13.95" customHeight="1" x14ac:dyDescent="0.25">
      <c r="A41" s="4"/>
      <c r="B41" s="4"/>
      <c r="C41" s="5"/>
      <c r="D41" s="6"/>
      <c r="E41" s="7" t="s">
        <v>21</v>
      </c>
      <c r="F41" s="8">
        <v>168</v>
      </c>
      <c r="H41" s="40"/>
    </row>
    <row r="42" spans="1:10" ht="13.95" customHeight="1" thickBot="1" x14ac:dyDescent="0.3">
      <c r="A42" s="4"/>
      <c r="B42" s="4"/>
      <c r="C42" s="9"/>
      <c r="D42" s="2"/>
      <c r="E42" s="10" t="s">
        <v>22</v>
      </c>
      <c r="F42" s="11">
        <v>21</v>
      </c>
      <c r="H42" s="40"/>
    </row>
    <row r="43" spans="1:10" ht="13.95" customHeight="1" thickBot="1" x14ac:dyDescent="0.3">
      <c r="A43" s="119" t="s">
        <v>23</v>
      </c>
      <c r="B43" s="119"/>
      <c r="C43" s="119"/>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20" t="s">
        <v>25</v>
      </c>
      <c r="B45" s="120"/>
      <c r="C45" s="120"/>
      <c r="D45" s="16"/>
      <c r="E45" s="17" t="s">
        <v>26</v>
      </c>
      <c r="F45" s="18">
        <f>SUMIF(F9:F39,"Non-Billable",H9:H39)</f>
        <v>0</v>
      </c>
      <c r="H45" s="40"/>
    </row>
    <row r="46" spans="1:10" ht="14.4" thickBot="1" x14ac:dyDescent="0.3">
      <c r="A46" s="2"/>
      <c r="B46" s="2"/>
      <c r="C46" s="2"/>
      <c r="D46" s="2"/>
      <c r="E46" s="19" t="s">
        <v>27</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31" priority="14" operator="containsText" text="Religious Leave">
      <formula>NOT(ISERROR(SEARCH("Religious Leave",A6)))</formula>
    </cfRule>
    <cfRule type="containsText" dxfId="30" priority="15" operator="containsText" text="Birthday Leave">
      <formula>NOT(ISERROR(SEARCH("Birthday Leave",A6)))</formula>
    </cfRule>
    <cfRule type="containsText" dxfId="29" priority="16" operator="containsText" text="Study Leave">
      <formula>NOT(ISERROR(SEARCH("Study Leave",A6)))</formula>
    </cfRule>
    <cfRule type="containsText" dxfId="28" priority="17" operator="containsText" text="Family Responsibility Leave">
      <formula>NOT(ISERROR(SEARCH("Family Responsibility Leave",A6)))</formula>
    </cfRule>
    <cfRule type="containsText" dxfId="27" priority="18" operator="containsText" text="Sick Leave">
      <formula>NOT(ISERROR(SEARCH("Sick Leave",A6)))</formula>
    </cfRule>
    <cfRule type="containsText" dxfId="26" priority="19" operator="containsText" text="Annual Leave">
      <formula>NOT(ISERROR(SEARCH("Annual Leave",A6)))</formula>
    </cfRule>
    <cfRule type="cellIs" dxfId="25" priority="20" operator="equal">
      <formula>"Public Holiday"</formula>
    </cfRule>
  </conditionalFormatting>
  <conditionalFormatting sqref="B7:B49">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40:E41 D43:E45 E48">
    <cfRule type="containsText" dxfId="22" priority="1" operator="containsText" text="Religious Leave">
      <formula>NOT(ISERROR(SEARCH("Religious Leave",D40)))</formula>
    </cfRule>
    <cfRule type="containsText" dxfId="21" priority="2" operator="containsText" text="Birthday Leave">
      <formula>NOT(ISERROR(SEARCH("Birthday Leave",D40)))</formula>
    </cfRule>
    <cfRule type="containsText" dxfId="20" priority="3" operator="containsText" text="Study Leave">
      <formula>NOT(ISERROR(SEARCH("Study Leave",D40)))</formula>
    </cfRule>
    <cfRule type="containsText" dxfId="19" priority="4" operator="containsText" text="Family Responsibility Leave">
      <formula>NOT(ISERROR(SEARCH("Family Responsibility Leave",D40)))</formula>
    </cfRule>
    <cfRule type="containsText" dxfId="18" priority="5" operator="containsText" text="Sick Leave">
      <formula>NOT(ISERROR(SEARCH("Sick Leave",D40)))</formula>
    </cfRule>
    <cfRule type="containsText" dxfId="17" priority="6" operator="containsText" text="Annual Leave">
      <formula>NOT(ISERROR(SEARCH("Annual Leave",D40)))</formula>
    </cfRule>
    <cfRule type="cellIs" dxfId="16" priority="7" operator="equal">
      <formula>"Public Holiday"</formula>
    </cfRule>
  </conditionalFormatting>
  <dataValidations count="1">
    <dataValidation type="time" allowBlank="1" showErrorMessage="1" errorTitle="Invlaid Time Format" error="Please input a valid time. For e.g. 08:00" sqref="I9:J39" xr:uid="{CE0786D6-D6FC-4D29-A71B-4E1546091D4D}">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30989AD-23D3-40C7-8F80-A5E41B510EE5}">
          <x14:formula1>
            <xm:f>Key!$K$3:$K$4</xm:f>
          </x14:formula1>
          <xm:sqref>F9:F39</xm:sqref>
        </x14:dataValidation>
        <x14:dataValidation type="list" allowBlank="1" showInputMessage="1" showErrorMessage="1" xr:uid="{B2DFC771-5C46-4C68-BCEC-AB576F2398A7}">
          <x14:formula1>
            <xm:f>Key!$B$2:$B$48</xm:f>
          </x14:formula1>
          <xm:sqref>C9:C39</xm:sqref>
        </x14:dataValidation>
        <x14:dataValidation type="list" allowBlank="1" showInputMessage="1" showErrorMessage="1" xr:uid="{55545D3E-18E2-4FBA-A7F1-0F256C99991F}">
          <x14:formula1>
            <xm:f>Key!$F$3:$F$54</xm:f>
          </x14:formula1>
          <xm:sqref>E9:E39</xm:sqref>
        </x14:dataValidation>
        <x14:dataValidation type="list" allowBlank="1" showInputMessage="1" showErrorMessage="1" xr:uid="{6375413B-0301-4C39-BE43-5A483338A0E5}">
          <x14:formula1>
            <xm:f>Key!$H$3:$H$80</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48"/>
  <sheetViews>
    <sheetView zoomScale="75" zoomScaleNormal="75" workbookViewId="0">
      <selection activeCell="F45" sqref="F45"/>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94</v>
      </c>
      <c r="B6" s="74">
        <f>F43</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45901</v>
      </c>
      <c r="B9" s="22" t="s">
        <v>17</v>
      </c>
      <c r="C9" s="27" t="s">
        <v>130</v>
      </c>
      <c r="D9" s="27" t="s">
        <v>108</v>
      </c>
      <c r="E9" s="27" t="s">
        <v>31</v>
      </c>
      <c r="F9" s="27" t="s">
        <v>13</v>
      </c>
      <c r="G9" s="28" t="s">
        <v>109</v>
      </c>
      <c r="H9" s="29">
        <f t="shared" ref="H9" si="0">J9-I9</f>
        <v>0.33333333333333331</v>
      </c>
      <c r="I9" s="30">
        <v>0.33333333333333331</v>
      </c>
      <c r="J9" s="30">
        <v>0.66666666666666663</v>
      </c>
    </row>
    <row r="10" spans="1:10" x14ac:dyDescent="0.2">
      <c r="A10" s="22">
        <v>45902</v>
      </c>
      <c r="B10" s="22" t="s">
        <v>18</v>
      </c>
      <c r="C10" s="27"/>
      <c r="D10" s="27"/>
      <c r="E10" s="27"/>
      <c r="F10" s="27"/>
      <c r="G10" s="28"/>
      <c r="H10" s="29">
        <f t="shared" ref="H10:H38" si="1">J10-I10</f>
        <v>0</v>
      </c>
      <c r="I10" s="30"/>
      <c r="J10" s="30"/>
    </row>
    <row r="11" spans="1:10" x14ac:dyDescent="0.2">
      <c r="A11" s="22">
        <v>45903</v>
      </c>
      <c r="B11" s="22" t="s">
        <v>19</v>
      </c>
      <c r="C11" s="27"/>
      <c r="D11" s="27"/>
      <c r="E11" s="27"/>
      <c r="F11" s="27"/>
      <c r="G11" s="28"/>
      <c r="H11" s="29">
        <f t="shared" si="1"/>
        <v>0</v>
      </c>
      <c r="I11" s="30"/>
      <c r="J11" s="30"/>
    </row>
    <row r="12" spans="1:10" x14ac:dyDescent="0.2">
      <c r="A12" s="22">
        <v>45904</v>
      </c>
      <c r="B12" s="22" t="s">
        <v>20</v>
      </c>
      <c r="C12" s="27"/>
      <c r="D12" s="27"/>
      <c r="E12" s="27"/>
      <c r="F12" s="27"/>
      <c r="G12" s="28"/>
      <c r="H12" s="29">
        <f t="shared" si="1"/>
        <v>0</v>
      </c>
      <c r="I12" s="30"/>
      <c r="J12" s="30"/>
    </row>
    <row r="13" spans="1:10" x14ac:dyDescent="0.2">
      <c r="A13" s="22">
        <v>45905</v>
      </c>
      <c r="B13" s="22" t="s">
        <v>11</v>
      </c>
      <c r="C13" s="27"/>
      <c r="D13" s="27"/>
      <c r="E13" s="27"/>
      <c r="F13" s="27"/>
      <c r="G13" s="28"/>
      <c r="H13" s="29">
        <f t="shared" si="1"/>
        <v>0</v>
      </c>
      <c r="I13" s="30"/>
      <c r="J13" s="30"/>
    </row>
    <row r="14" spans="1:10" x14ac:dyDescent="0.2">
      <c r="A14" s="31">
        <v>45906</v>
      </c>
      <c r="B14" s="31" t="s">
        <v>14</v>
      </c>
      <c r="C14" s="32"/>
      <c r="D14" s="32"/>
      <c r="E14" s="32"/>
      <c r="F14" s="32"/>
      <c r="G14" s="33"/>
      <c r="H14" s="34">
        <f t="shared" si="1"/>
        <v>0</v>
      </c>
      <c r="I14" s="35"/>
      <c r="J14" s="35"/>
    </row>
    <row r="15" spans="1:10" x14ac:dyDescent="0.2">
      <c r="A15" s="31">
        <v>45907</v>
      </c>
      <c r="B15" s="31" t="s">
        <v>16</v>
      </c>
      <c r="C15" s="32"/>
      <c r="D15" s="32"/>
      <c r="E15" s="32"/>
      <c r="F15" s="32"/>
      <c r="G15" s="33"/>
      <c r="H15" s="34">
        <f t="shared" si="1"/>
        <v>0</v>
      </c>
      <c r="I15" s="35"/>
      <c r="J15" s="35"/>
    </row>
    <row r="16" spans="1:10" x14ac:dyDescent="0.2">
      <c r="A16" s="22">
        <v>45908</v>
      </c>
      <c r="B16" s="22" t="s">
        <v>17</v>
      </c>
      <c r="C16" s="27"/>
      <c r="D16" s="27"/>
      <c r="E16" s="27"/>
      <c r="F16" s="27"/>
      <c r="G16" s="28"/>
      <c r="H16" s="29">
        <f t="shared" si="1"/>
        <v>0</v>
      </c>
      <c r="I16" s="30"/>
      <c r="J16" s="30"/>
    </row>
    <row r="17" spans="1:10" x14ac:dyDescent="0.2">
      <c r="A17" s="22">
        <v>45909</v>
      </c>
      <c r="B17" s="22" t="s">
        <v>18</v>
      </c>
      <c r="C17" s="27"/>
      <c r="D17" s="27"/>
      <c r="E17" s="27"/>
      <c r="F17" s="27"/>
      <c r="G17" s="28"/>
      <c r="H17" s="29">
        <f t="shared" si="1"/>
        <v>0</v>
      </c>
      <c r="I17" s="30"/>
      <c r="J17" s="30"/>
    </row>
    <row r="18" spans="1:10" x14ac:dyDescent="0.2">
      <c r="A18" s="22">
        <v>45910</v>
      </c>
      <c r="B18" s="22" t="s">
        <v>19</v>
      </c>
      <c r="C18" s="27"/>
      <c r="D18" s="27"/>
      <c r="E18" s="27"/>
      <c r="F18" s="27"/>
      <c r="G18" s="28"/>
      <c r="H18" s="29">
        <f t="shared" si="1"/>
        <v>0</v>
      </c>
      <c r="I18" s="30"/>
      <c r="J18" s="30"/>
    </row>
    <row r="19" spans="1:10" x14ac:dyDescent="0.2">
      <c r="A19" s="22">
        <v>45911</v>
      </c>
      <c r="B19" s="22" t="s">
        <v>20</v>
      </c>
      <c r="C19" s="27"/>
      <c r="D19" s="27"/>
      <c r="E19" s="27"/>
      <c r="F19" s="27"/>
      <c r="G19" s="28"/>
      <c r="H19" s="29">
        <f t="shared" si="1"/>
        <v>0</v>
      </c>
      <c r="I19" s="30"/>
      <c r="J19" s="30"/>
    </row>
    <row r="20" spans="1:10" x14ac:dyDescent="0.2">
      <c r="A20" s="22">
        <v>45912</v>
      </c>
      <c r="B20" s="22" t="s">
        <v>11</v>
      </c>
      <c r="C20" s="27"/>
      <c r="D20" s="27"/>
      <c r="E20" s="27"/>
      <c r="F20" s="27"/>
      <c r="G20" s="28"/>
      <c r="H20" s="29">
        <f t="shared" si="1"/>
        <v>0</v>
      </c>
      <c r="I20" s="30"/>
      <c r="J20" s="30"/>
    </row>
    <row r="21" spans="1:10" x14ac:dyDescent="0.2">
      <c r="A21" s="31">
        <v>45913</v>
      </c>
      <c r="B21" s="31" t="s">
        <v>14</v>
      </c>
      <c r="C21" s="32"/>
      <c r="D21" s="32"/>
      <c r="E21" s="32"/>
      <c r="F21" s="32"/>
      <c r="G21" s="33"/>
      <c r="H21" s="34">
        <f t="shared" si="1"/>
        <v>0</v>
      </c>
      <c r="I21" s="35"/>
      <c r="J21" s="35"/>
    </row>
    <row r="22" spans="1:10" x14ac:dyDescent="0.2">
      <c r="A22" s="31">
        <v>45914</v>
      </c>
      <c r="B22" s="31" t="s">
        <v>16</v>
      </c>
      <c r="C22" s="32"/>
      <c r="D22" s="32"/>
      <c r="E22" s="32"/>
      <c r="F22" s="32"/>
      <c r="G22" s="33"/>
      <c r="H22" s="34">
        <f t="shared" si="1"/>
        <v>0</v>
      </c>
      <c r="I22" s="35"/>
      <c r="J22" s="35"/>
    </row>
    <row r="23" spans="1:10" x14ac:dyDescent="0.2">
      <c r="A23" s="22">
        <v>45915</v>
      </c>
      <c r="B23" s="22" t="s">
        <v>17</v>
      </c>
      <c r="C23" s="27"/>
      <c r="D23" s="27"/>
      <c r="E23" s="27"/>
      <c r="F23" s="27"/>
      <c r="G23" s="28"/>
      <c r="H23" s="29">
        <f t="shared" si="1"/>
        <v>0</v>
      </c>
      <c r="I23" s="30"/>
      <c r="J23" s="30"/>
    </row>
    <row r="24" spans="1:10" x14ac:dyDescent="0.2">
      <c r="A24" s="22">
        <v>45916</v>
      </c>
      <c r="B24" s="22" t="s">
        <v>18</v>
      </c>
      <c r="C24" s="27"/>
      <c r="D24" s="27"/>
      <c r="E24" s="27"/>
      <c r="F24" s="27"/>
      <c r="G24" s="28"/>
      <c r="H24" s="29">
        <f t="shared" si="1"/>
        <v>0</v>
      </c>
      <c r="I24" s="30"/>
      <c r="J24" s="30"/>
    </row>
    <row r="25" spans="1:10" x14ac:dyDescent="0.2">
      <c r="A25" s="22">
        <v>45917</v>
      </c>
      <c r="B25" s="22" t="s">
        <v>19</v>
      </c>
      <c r="C25" s="27"/>
      <c r="D25" s="27"/>
      <c r="E25" s="27"/>
      <c r="F25" s="27"/>
      <c r="G25" s="28"/>
      <c r="H25" s="29">
        <f t="shared" si="1"/>
        <v>0</v>
      </c>
      <c r="I25" s="30"/>
      <c r="J25" s="30"/>
    </row>
    <row r="26" spans="1:10" x14ac:dyDescent="0.2">
      <c r="A26" s="22">
        <v>45918</v>
      </c>
      <c r="B26" s="22" t="s">
        <v>20</v>
      </c>
      <c r="C26" s="27"/>
      <c r="D26" s="27"/>
      <c r="E26" s="27"/>
      <c r="F26" s="27"/>
      <c r="G26" s="28"/>
      <c r="H26" s="29">
        <f t="shared" si="1"/>
        <v>0</v>
      </c>
      <c r="I26" s="30"/>
      <c r="J26" s="30"/>
    </row>
    <row r="27" spans="1:10" x14ac:dyDescent="0.2">
      <c r="A27" s="22">
        <v>45919</v>
      </c>
      <c r="B27" s="22" t="s">
        <v>11</v>
      </c>
      <c r="C27" s="27"/>
      <c r="D27" s="27"/>
      <c r="E27" s="27"/>
      <c r="F27" s="27"/>
      <c r="G27" s="28"/>
      <c r="H27" s="29">
        <f t="shared" si="1"/>
        <v>0</v>
      </c>
      <c r="I27" s="30"/>
      <c r="J27" s="30"/>
    </row>
    <row r="28" spans="1:10" x14ac:dyDescent="0.2">
      <c r="A28" s="31">
        <v>45920</v>
      </c>
      <c r="B28" s="31" t="s">
        <v>14</v>
      </c>
      <c r="C28" s="32"/>
      <c r="D28" s="32"/>
      <c r="E28" s="32"/>
      <c r="F28" s="32"/>
      <c r="G28" s="33"/>
      <c r="H28" s="34">
        <f t="shared" si="1"/>
        <v>0</v>
      </c>
      <c r="I28" s="35"/>
      <c r="J28" s="35"/>
    </row>
    <row r="29" spans="1:10" x14ac:dyDescent="0.2">
      <c r="A29" s="31">
        <v>45921</v>
      </c>
      <c r="B29" s="31" t="s">
        <v>16</v>
      </c>
      <c r="C29" s="32"/>
      <c r="D29" s="32"/>
      <c r="E29" s="32"/>
      <c r="F29" s="32"/>
      <c r="G29" s="33"/>
      <c r="H29" s="34">
        <f t="shared" si="1"/>
        <v>0</v>
      </c>
      <c r="I29" s="35"/>
      <c r="J29" s="35"/>
    </row>
    <row r="30" spans="1:10" x14ac:dyDescent="0.2">
      <c r="A30" s="22">
        <v>45922</v>
      </c>
      <c r="B30" s="22" t="s">
        <v>17</v>
      </c>
      <c r="C30" s="27"/>
      <c r="D30" s="27"/>
      <c r="E30" s="27"/>
      <c r="F30" s="27"/>
      <c r="G30" s="28"/>
      <c r="H30" s="29">
        <f t="shared" si="1"/>
        <v>0</v>
      </c>
      <c r="I30" s="30"/>
      <c r="J30" s="30"/>
    </row>
    <row r="31" spans="1:10" x14ac:dyDescent="0.2">
      <c r="A31" s="22">
        <v>45923</v>
      </c>
      <c r="B31" s="22" t="s">
        <v>18</v>
      </c>
      <c r="C31" s="27"/>
      <c r="D31" s="27"/>
      <c r="E31" s="27"/>
      <c r="F31" s="27"/>
      <c r="G31" s="28"/>
      <c r="H31" s="29">
        <f t="shared" si="1"/>
        <v>0</v>
      </c>
      <c r="I31" s="30"/>
      <c r="J31" s="30"/>
    </row>
    <row r="32" spans="1:10" x14ac:dyDescent="0.2">
      <c r="A32" s="47">
        <v>45924</v>
      </c>
      <c r="B32" s="47" t="s">
        <v>19</v>
      </c>
      <c r="C32" s="48" t="s">
        <v>130</v>
      </c>
      <c r="D32" s="48"/>
      <c r="E32" s="48" t="s">
        <v>90</v>
      </c>
      <c r="F32" s="48" t="s">
        <v>15</v>
      </c>
      <c r="G32" s="49" t="s">
        <v>198</v>
      </c>
      <c r="H32" s="50">
        <f t="shared" ref="H32" si="2">J32-I32</f>
        <v>0.33333333333333331</v>
      </c>
      <c r="I32" s="51">
        <v>0.33333333333333331</v>
      </c>
      <c r="J32" s="51">
        <v>0.66666666666666663</v>
      </c>
    </row>
    <row r="33" spans="1:10" x14ac:dyDescent="0.2">
      <c r="A33" s="22">
        <v>45925</v>
      </c>
      <c r="B33" s="22" t="s">
        <v>20</v>
      </c>
      <c r="C33" s="27"/>
      <c r="D33" s="27"/>
      <c r="E33" s="27"/>
      <c r="F33" s="27"/>
      <c r="G33" s="28"/>
      <c r="H33" s="29">
        <f t="shared" si="1"/>
        <v>0</v>
      </c>
      <c r="I33" s="30"/>
      <c r="J33" s="30"/>
    </row>
    <row r="34" spans="1:10" x14ac:dyDescent="0.2">
      <c r="A34" s="22">
        <v>45926</v>
      </c>
      <c r="B34" s="22" t="s">
        <v>11</v>
      </c>
      <c r="C34" s="27"/>
      <c r="D34" s="27"/>
      <c r="E34" s="27"/>
      <c r="F34" s="27"/>
      <c r="G34" s="28"/>
      <c r="H34" s="29">
        <f t="shared" si="1"/>
        <v>0</v>
      </c>
      <c r="I34" s="30"/>
      <c r="J34" s="30"/>
    </row>
    <row r="35" spans="1:10" x14ac:dyDescent="0.2">
      <c r="A35" s="31">
        <v>45927</v>
      </c>
      <c r="B35" s="31" t="s">
        <v>14</v>
      </c>
      <c r="C35" s="32"/>
      <c r="D35" s="32"/>
      <c r="E35" s="32"/>
      <c r="F35" s="32"/>
      <c r="G35" s="33"/>
      <c r="H35" s="34">
        <f t="shared" si="1"/>
        <v>0</v>
      </c>
      <c r="I35" s="35"/>
      <c r="J35" s="35"/>
    </row>
    <row r="36" spans="1:10" x14ac:dyDescent="0.2">
      <c r="A36" s="31">
        <v>45928</v>
      </c>
      <c r="B36" s="31" t="s">
        <v>16</v>
      </c>
      <c r="C36" s="32"/>
      <c r="D36" s="32"/>
      <c r="E36" s="32"/>
      <c r="F36" s="32"/>
      <c r="G36" s="33"/>
      <c r="H36" s="34">
        <f t="shared" si="1"/>
        <v>0</v>
      </c>
      <c r="I36" s="35"/>
      <c r="J36" s="35"/>
    </row>
    <row r="37" spans="1:10" x14ac:dyDescent="0.2">
      <c r="A37" s="22">
        <v>45929</v>
      </c>
      <c r="B37" s="22" t="s">
        <v>17</v>
      </c>
      <c r="C37" s="27"/>
      <c r="D37" s="27"/>
      <c r="E37" s="27"/>
      <c r="F37" s="27"/>
      <c r="G37" s="28"/>
      <c r="H37" s="29">
        <f t="shared" si="1"/>
        <v>0</v>
      </c>
      <c r="I37" s="30"/>
      <c r="J37" s="30"/>
    </row>
    <row r="38" spans="1:10" x14ac:dyDescent="0.2">
      <c r="A38" s="22">
        <v>45930</v>
      </c>
      <c r="B38" s="22" t="s">
        <v>18</v>
      </c>
      <c r="C38" s="27"/>
      <c r="D38" s="27"/>
      <c r="E38" s="27"/>
      <c r="F38" s="27"/>
      <c r="G38" s="28"/>
      <c r="H38" s="29">
        <f t="shared" si="1"/>
        <v>0</v>
      </c>
      <c r="I38" s="30"/>
      <c r="J38" s="30"/>
    </row>
    <row r="39" spans="1:10" ht="13.95" customHeight="1" thickBot="1" x14ac:dyDescent="0.3">
      <c r="A39" s="46"/>
      <c r="B39" s="46"/>
      <c r="C39" s="45"/>
      <c r="D39" s="45"/>
      <c r="E39" s="45"/>
      <c r="F39" s="45"/>
      <c r="G39" s="45"/>
      <c r="H39" s="36"/>
      <c r="I39" s="37"/>
    </row>
    <row r="40" spans="1:10" ht="13.95" customHeight="1" x14ac:dyDescent="0.25">
      <c r="A40" s="4"/>
      <c r="B40" s="4"/>
      <c r="C40" s="5"/>
      <c r="D40" s="6"/>
      <c r="E40" s="7" t="s">
        <v>21</v>
      </c>
      <c r="F40" s="8">
        <v>168</v>
      </c>
      <c r="H40" s="40"/>
    </row>
    <row r="41" spans="1:10" ht="13.95" customHeight="1" thickBot="1" x14ac:dyDescent="0.3">
      <c r="A41" s="4"/>
      <c r="B41" s="4"/>
      <c r="C41" s="9"/>
      <c r="D41" s="2"/>
      <c r="E41" s="10" t="s">
        <v>22</v>
      </c>
      <c r="F41" s="11">
        <v>21</v>
      </c>
      <c r="H41" s="40"/>
    </row>
    <row r="42" spans="1:10" ht="13.95" customHeight="1" thickBot="1" x14ac:dyDescent="0.3">
      <c r="A42" s="119" t="s">
        <v>23</v>
      </c>
      <c r="B42" s="119"/>
      <c r="C42" s="119"/>
      <c r="D42" s="12"/>
      <c r="E42" s="2"/>
      <c r="F42" s="2"/>
      <c r="H42" s="40"/>
    </row>
    <row r="43" spans="1:10" ht="13.8" x14ac:dyDescent="0.25">
      <c r="A43" s="13"/>
      <c r="B43" s="13"/>
      <c r="C43" s="6"/>
      <c r="D43" s="6"/>
      <c r="E43" s="14" t="s">
        <v>24</v>
      </c>
      <c r="F43" s="15">
        <f>SUMIF(F9:F38,"Billable",H9:H38)</f>
        <v>0.33333333333333331</v>
      </c>
      <c r="H43" s="38"/>
    </row>
    <row r="44" spans="1:10" ht="15" customHeight="1" thickBot="1" x14ac:dyDescent="0.3">
      <c r="A44" s="120" t="s">
        <v>25</v>
      </c>
      <c r="B44" s="120"/>
      <c r="C44" s="120"/>
      <c r="D44" s="16"/>
      <c r="E44" s="17" t="s">
        <v>26</v>
      </c>
      <c r="F44" s="18">
        <f>SUMIF(F9:F38,"Non-Billable",H9:H38)</f>
        <v>0.33333333333333331</v>
      </c>
      <c r="H44" s="40"/>
    </row>
    <row r="45" spans="1:10" ht="14.4" thickBot="1" x14ac:dyDescent="0.3">
      <c r="A45" s="2"/>
      <c r="B45" s="2"/>
      <c r="C45" s="2"/>
      <c r="D45" s="2"/>
      <c r="E45" s="19" t="s">
        <v>27</v>
      </c>
      <c r="F45" s="44">
        <f>F43+F44</f>
        <v>0.66666666666666663</v>
      </c>
      <c r="H45" s="40"/>
    </row>
    <row r="46" spans="1:10" ht="13.8" thickBot="1" x14ac:dyDescent="0.3">
      <c r="A46" s="2"/>
      <c r="B46" s="2"/>
      <c r="C46" s="2"/>
      <c r="D46" s="2"/>
      <c r="E46" s="2"/>
      <c r="F46" s="2"/>
      <c r="H46" s="40"/>
    </row>
    <row r="47" spans="1:10" ht="13.8" thickBot="1" x14ac:dyDescent="0.3">
      <c r="A47" s="2"/>
      <c r="B47" s="2"/>
      <c r="C47" s="2"/>
      <c r="D47" s="2"/>
      <c r="E47" s="20" t="s">
        <v>28</v>
      </c>
      <c r="F47" s="21"/>
      <c r="H47" s="40"/>
    </row>
    <row r="48" spans="1:10" ht="13.2" thickBot="1" x14ac:dyDescent="0.25">
      <c r="E48" s="39"/>
      <c r="H48" s="40"/>
    </row>
  </sheetData>
  <mergeCells count="2">
    <mergeCell ref="A42:C42"/>
    <mergeCell ref="A44:C44"/>
  </mergeCells>
  <phoneticPr fontId="10" type="noConversion"/>
  <conditionalFormatting sqref="A6:B6 D6:E7 D39:E40">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48">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42:E44 E47">
    <cfRule type="containsText" dxfId="6" priority="1" operator="containsText" text="Religious Leave">
      <formula>NOT(ISERROR(SEARCH("Religious Leave",D42)))</formula>
    </cfRule>
    <cfRule type="containsText" dxfId="5" priority="2" operator="containsText" text="Birthday Leave">
      <formula>NOT(ISERROR(SEARCH("Birthday Leave",D42)))</formula>
    </cfRule>
    <cfRule type="containsText" dxfId="4" priority="3" operator="containsText" text="Study Leave">
      <formula>NOT(ISERROR(SEARCH("Study Leave",D42)))</formula>
    </cfRule>
    <cfRule type="containsText" dxfId="3" priority="4" operator="containsText" text="Family Responsibility Leave">
      <formula>NOT(ISERROR(SEARCH("Family Responsibility Leave",D42)))</formula>
    </cfRule>
    <cfRule type="containsText" dxfId="2" priority="5" operator="containsText" text="Sick Leave">
      <formula>NOT(ISERROR(SEARCH("Sick Leave",D42)))</formula>
    </cfRule>
    <cfRule type="containsText" dxfId="1" priority="6" operator="containsText" text="Annual Leave">
      <formula>NOT(ISERROR(SEARCH("Annual Leave",D42)))</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38"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C39A6A8E-1249-4B2F-AB25-70B85A400C15}">
          <x14:formula1>
            <xm:f>Key!$K$3:$K$4</xm:f>
          </x14:formula1>
          <xm:sqref>F9:F38</xm:sqref>
        </x14:dataValidation>
        <x14:dataValidation type="list" allowBlank="1" showInputMessage="1" showErrorMessage="1" xr:uid="{21903AE5-45BA-428F-AFA8-22E9A01182F3}">
          <x14:formula1>
            <xm:f>Key!$B$2:$B$51</xm:f>
          </x14:formula1>
          <xm:sqref>C9:C38</xm:sqref>
        </x14:dataValidation>
        <x14:dataValidation type="list" allowBlank="1" showInputMessage="1" showErrorMessage="1" xr:uid="{B11ED7AE-D90D-41B0-B483-088E73216738}">
          <x14:formula1>
            <xm:f>Key!$F$3:$F$52</xm:f>
          </x14:formula1>
          <xm:sqref>E9:E38</xm:sqref>
        </x14:dataValidation>
        <x14:dataValidation type="list" allowBlank="1" showInputMessage="1" showErrorMessage="1" xr:uid="{5693F761-715B-45CE-AC76-906C43DF08FA}">
          <x14:formula1>
            <xm:f>Key!$H$3:$H$76</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B5" sqref="B5"/>
    </sheetView>
  </sheetViews>
  <sheetFormatPr defaultColWidth="8.69921875" defaultRowHeight="12.6" x14ac:dyDescent="0.2"/>
  <cols>
    <col min="1" max="1" width="12" style="23" customWidth="1"/>
    <col min="2" max="2" width="13.09765625" style="23" customWidth="1"/>
    <col min="3" max="3" width="16.19921875" style="23" bestFit="1" customWidth="1"/>
    <col min="4" max="4" width="8.69921875" style="23"/>
    <col min="5" max="5" width="13.296875" style="23" customWidth="1"/>
    <col min="6" max="6" width="14.5" style="23" customWidth="1"/>
    <col min="7" max="16384" width="8.69921875" style="23"/>
  </cols>
  <sheetData>
    <row r="1" spans="1:15" ht="13.5" customHeight="1" x14ac:dyDescent="0.2">
      <c r="A1" s="82"/>
      <c r="B1" s="82"/>
      <c r="C1" s="82"/>
      <c r="D1" s="82"/>
      <c r="E1" s="82"/>
      <c r="F1" s="82"/>
    </row>
    <row r="2" spans="1:15" x14ac:dyDescent="0.2">
      <c r="A2" s="81"/>
      <c r="B2" s="81"/>
      <c r="C2" s="86"/>
      <c r="D2" s="86"/>
      <c r="E2" s="86"/>
      <c r="F2" s="86"/>
    </row>
    <row r="3" spans="1:15" x14ac:dyDescent="0.2">
      <c r="A3" s="81"/>
      <c r="B3" s="81"/>
      <c r="C3" s="87"/>
      <c r="D3" s="87"/>
      <c r="E3" s="87"/>
      <c r="F3" s="87"/>
    </row>
    <row r="4" spans="1:15" x14ac:dyDescent="0.2">
      <c r="A4" s="81"/>
      <c r="B4" s="81"/>
      <c r="C4" s="88"/>
      <c r="D4" s="88"/>
      <c r="E4" s="88"/>
      <c r="F4" s="88"/>
    </row>
    <row r="5" spans="1:15" x14ac:dyDescent="0.2">
      <c r="A5" s="37" t="s">
        <v>2</v>
      </c>
      <c r="B5" s="23" t="s">
        <v>108</v>
      </c>
      <c r="C5" s="88"/>
      <c r="D5" s="88"/>
      <c r="E5" s="88"/>
      <c r="F5" s="88"/>
    </row>
    <row r="6" spans="1:15" x14ac:dyDescent="0.2">
      <c r="A6" s="81" t="s">
        <v>179</v>
      </c>
      <c r="B6" s="83">
        <f>F17</f>
        <v>200</v>
      </c>
      <c r="C6" s="86"/>
      <c r="D6" s="87"/>
      <c r="E6" s="87"/>
      <c r="F6" s="87"/>
    </row>
    <row r="7" spans="1:15" ht="13.5" customHeight="1" x14ac:dyDescent="0.2">
      <c r="A7" s="75"/>
      <c r="B7" s="76"/>
      <c r="C7" s="76"/>
      <c r="D7" s="87"/>
      <c r="E7" s="87"/>
      <c r="F7" s="87"/>
    </row>
    <row r="8" spans="1:15" ht="27.45" customHeight="1" x14ac:dyDescent="0.2">
      <c r="A8" s="129" t="s">
        <v>180</v>
      </c>
      <c r="B8" s="129"/>
      <c r="C8" s="129"/>
      <c r="D8" s="129"/>
      <c r="E8" s="129"/>
      <c r="F8" s="129"/>
    </row>
    <row r="9" spans="1:15" ht="13.5" customHeight="1" thickBot="1" x14ac:dyDescent="0.25">
      <c r="A9" s="84" t="s">
        <v>184</v>
      </c>
      <c r="B9" s="132" t="s">
        <v>181</v>
      </c>
      <c r="C9" s="133"/>
      <c r="D9" s="132" t="s">
        <v>95</v>
      </c>
      <c r="E9" s="133"/>
      <c r="F9" s="85" t="s">
        <v>96</v>
      </c>
    </row>
    <row r="10" spans="1:15" x14ac:dyDescent="0.2">
      <c r="A10" s="80">
        <v>45566</v>
      </c>
      <c r="B10" s="123" t="s">
        <v>182</v>
      </c>
      <c r="C10" s="123"/>
      <c r="D10" s="123" t="s">
        <v>128</v>
      </c>
      <c r="E10" s="123"/>
      <c r="F10" s="79">
        <v>200</v>
      </c>
      <c r="G10" s="130" t="s">
        <v>183</v>
      </c>
      <c r="H10" s="131"/>
      <c r="I10" s="131"/>
      <c r="J10" s="131"/>
      <c r="K10" s="131"/>
      <c r="L10" s="131"/>
      <c r="M10" s="131"/>
      <c r="N10" s="131"/>
      <c r="O10" s="131"/>
    </row>
    <row r="11" spans="1:15" x14ac:dyDescent="0.2">
      <c r="A11" s="80">
        <v>45566</v>
      </c>
      <c r="B11" s="121" t="s">
        <v>185</v>
      </c>
      <c r="C11" s="122"/>
      <c r="D11" s="123" t="s">
        <v>134</v>
      </c>
      <c r="E11" s="123"/>
      <c r="F11" s="79"/>
    </row>
    <row r="12" spans="1:15" x14ac:dyDescent="0.2">
      <c r="A12" s="80">
        <v>45566</v>
      </c>
      <c r="B12" s="121" t="s">
        <v>186</v>
      </c>
      <c r="C12" s="122"/>
      <c r="D12" s="123"/>
      <c r="E12" s="123"/>
      <c r="F12" s="79"/>
    </row>
    <row r="13" spans="1:15" x14ac:dyDescent="0.2">
      <c r="A13" s="80">
        <v>45566</v>
      </c>
      <c r="B13" s="121"/>
      <c r="C13" s="122"/>
      <c r="D13" s="123"/>
      <c r="E13" s="123"/>
      <c r="F13" s="79"/>
    </row>
    <row r="14" spans="1:15" x14ac:dyDescent="0.2">
      <c r="A14" s="80">
        <v>45566</v>
      </c>
      <c r="B14" s="121"/>
      <c r="C14" s="122"/>
      <c r="D14" s="123"/>
      <c r="E14" s="123"/>
      <c r="F14" s="79"/>
    </row>
    <row r="15" spans="1:15" x14ac:dyDescent="0.2">
      <c r="A15" s="80">
        <v>45566</v>
      </c>
      <c r="B15" s="127"/>
      <c r="C15" s="128"/>
      <c r="D15" s="123"/>
      <c r="E15" s="123"/>
      <c r="F15" s="79"/>
    </row>
    <row r="16" spans="1:15" ht="13.2" thickBot="1" x14ac:dyDescent="0.25">
      <c r="A16" s="80">
        <v>45566</v>
      </c>
      <c r="B16" s="121"/>
      <c r="C16" s="122"/>
      <c r="D16" s="123"/>
      <c r="E16" s="123"/>
      <c r="F16" s="79"/>
    </row>
    <row r="17" spans="1:6" ht="13.5" customHeight="1" thickBot="1" x14ac:dyDescent="0.25">
      <c r="A17" s="124" t="s">
        <v>97</v>
      </c>
      <c r="B17" s="125"/>
      <c r="C17" s="125"/>
      <c r="D17" s="125"/>
      <c r="E17" s="126"/>
      <c r="F17" s="78">
        <f>SUM(F10:F16)</f>
        <v>200</v>
      </c>
    </row>
    <row r="18" spans="1:6" x14ac:dyDescent="0.2">
      <c r="A18" s="75"/>
      <c r="B18" s="76"/>
      <c r="C18" s="76"/>
      <c r="D18" s="76"/>
      <c r="E18" s="77"/>
      <c r="F18" s="77"/>
    </row>
  </sheetData>
  <mergeCells count="19">
    <mergeCell ref="G10:O10"/>
    <mergeCell ref="B9:C9"/>
    <mergeCell ref="D9:E9"/>
    <mergeCell ref="B10:C10"/>
    <mergeCell ref="D10:E10"/>
    <mergeCell ref="A8:F8"/>
    <mergeCell ref="B11:C11"/>
    <mergeCell ref="D11:E11"/>
    <mergeCell ref="B12:C12"/>
    <mergeCell ref="D12:E12"/>
    <mergeCell ref="B13:C13"/>
    <mergeCell ref="D13:E13"/>
    <mergeCell ref="A17:E17"/>
    <mergeCell ref="B14:C14"/>
    <mergeCell ref="D14:E14"/>
    <mergeCell ref="B15:C15"/>
    <mergeCell ref="D15:E15"/>
    <mergeCell ref="B16:C16"/>
    <mergeCell ref="D16:E16"/>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Key!$H$3:$H$82</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I16" sqref="I16"/>
    </sheetView>
  </sheetViews>
  <sheetFormatPr defaultColWidth="8.69921875" defaultRowHeight="12.6" x14ac:dyDescent="0.2"/>
  <cols>
    <col min="1" max="1" width="15.5" style="23" bestFit="1" customWidth="1"/>
    <col min="2" max="2" width="11.796875" style="23" customWidth="1"/>
    <col min="3" max="3" width="11" style="23" customWidth="1"/>
    <col min="4" max="16384" width="8.69921875" style="23"/>
  </cols>
  <sheetData>
    <row r="4" spans="1:6" x14ac:dyDescent="0.2">
      <c r="A4" s="134"/>
      <c r="B4" s="134"/>
    </row>
    <row r="5" spans="1:6" x14ac:dyDescent="0.2">
      <c r="A5" s="37" t="s">
        <v>2</v>
      </c>
      <c r="B5" s="23" t="s">
        <v>203</v>
      </c>
    </row>
    <row r="6" spans="1:6" x14ac:dyDescent="0.2">
      <c r="A6" s="81" t="s">
        <v>188</v>
      </c>
      <c r="B6" s="89" t="s">
        <v>262</v>
      </c>
    </row>
    <row r="7" spans="1:6" x14ac:dyDescent="0.2">
      <c r="A7" s="97" t="s">
        <v>189</v>
      </c>
      <c r="B7" s="89" t="s">
        <v>262</v>
      </c>
    </row>
    <row r="8" spans="1:6" x14ac:dyDescent="0.2">
      <c r="A8" s="98"/>
      <c r="B8" s="87"/>
    </row>
    <row r="9" spans="1:6" ht="27.45" customHeight="1" x14ac:dyDescent="0.2">
      <c r="A9" s="147" t="s">
        <v>187</v>
      </c>
      <c r="B9" s="147"/>
      <c r="C9" s="147"/>
      <c r="D9" s="147"/>
      <c r="E9" s="147"/>
      <c r="F9" s="147"/>
    </row>
    <row r="10" spans="1:6" ht="25.2" x14ac:dyDescent="0.2">
      <c r="A10" s="89" t="s">
        <v>98</v>
      </c>
      <c r="B10" s="89" t="s">
        <v>99</v>
      </c>
      <c r="C10" s="89" t="s">
        <v>100</v>
      </c>
      <c r="D10" s="89" t="s">
        <v>101</v>
      </c>
      <c r="E10" s="89" t="s">
        <v>102</v>
      </c>
      <c r="F10" s="89" t="s">
        <v>103</v>
      </c>
    </row>
    <row r="11" spans="1:6" ht="25.2" x14ac:dyDescent="0.2">
      <c r="A11" s="89" t="s">
        <v>82</v>
      </c>
      <c r="B11" s="89" t="s">
        <v>262</v>
      </c>
      <c r="C11" s="89" t="s">
        <v>262</v>
      </c>
      <c r="D11" s="89">
        <v>1</v>
      </c>
      <c r="E11" s="89"/>
      <c r="F11" s="89"/>
    </row>
    <row r="12" spans="1:6" x14ac:dyDescent="0.2">
      <c r="A12" s="89"/>
      <c r="B12" s="89"/>
      <c r="C12" s="89"/>
      <c r="D12" s="89"/>
      <c r="E12" s="89"/>
      <c r="F12" s="89"/>
    </row>
    <row r="13" spans="1:6" ht="13.2" thickBot="1" x14ac:dyDescent="0.25">
      <c r="A13" s="89"/>
      <c r="B13" s="89"/>
      <c r="C13" s="89"/>
      <c r="D13" s="89"/>
      <c r="E13" s="89"/>
      <c r="F13" s="89"/>
    </row>
    <row r="14" spans="1:6" ht="13.2" thickBot="1" x14ac:dyDescent="0.25">
      <c r="A14" s="90"/>
      <c r="B14" s="91"/>
      <c r="C14" s="91"/>
      <c r="D14" s="92">
        <f>SUM(D11:D13)</f>
        <v>1</v>
      </c>
      <c r="E14" s="91"/>
      <c r="F14" s="93"/>
    </row>
    <row r="15" spans="1:6" ht="13.2" thickBot="1" x14ac:dyDescent="0.25">
      <c r="A15" s="138"/>
      <c r="B15" s="139"/>
      <c r="C15" s="139"/>
      <c r="D15" s="139"/>
      <c r="E15" s="139"/>
      <c r="F15" s="139"/>
    </row>
    <row r="16" spans="1:6" x14ac:dyDescent="0.2">
      <c r="A16" s="148" t="s">
        <v>104</v>
      </c>
      <c r="B16" s="149"/>
      <c r="C16" s="149"/>
      <c r="D16" s="149"/>
      <c r="E16" s="149"/>
      <c r="F16" s="150"/>
    </row>
    <row r="17" spans="1:6" x14ac:dyDescent="0.2">
      <c r="A17" s="135" t="s">
        <v>263</v>
      </c>
      <c r="B17" s="136"/>
      <c r="C17" s="136"/>
      <c r="D17" s="136"/>
      <c r="E17" s="136"/>
      <c r="F17" s="137"/>
    </row>
    <row r="18" spans="1:6" x14ac:dyDescent="0.2">
      <c r="A18" s="135"/>
      <c r="B18" s="136"/>
      <c r="C18" s="136"/>
      <c r="D18" s="136"/>
      <c r="E18" s="136"/>
      <c r="F18" s="137"/>
    </row>
    <row r="19" spans="1:6" ht="13.2" thickBot="1" x14ac:dyDescent="0.25">
      <c r="A19" s="138"/>
      <c r="B19" s="139"/>
      <c r="C19" s="139"/>
      <c r="D19" s="139"/>
      <c r="E19" s="139"/>
      <c r="F19" s="140"/>
    </row>
    <row r="20" spans="1:6" ht="13.2" thickBot="1" x14ac:dyDescent="0.25"/>
    <row r="21" spans="1:6" x14ac:dyDescent="0.2">
      <c r="A21" s="94" t="s">
        <v>0</v>
      </c>
      <c r="B21" s="141" t="s">
        <v>264</v>
      </c>
      <c r="C21" s="141"/>
      <c r="D21" s="141"/>
      <c r="E21" s="141"/>
      <c r="F21" s="142"/>
    </row>
    <row r="22" spans="1:6" x14ac:dyDescent="0.2">
      <c r="A22" s="95" t="s">
        <v>105</v>
      </c>
      <c r="B22" s="143" t="s">
        <v>265</v>
      </c>
      <c r="C22" s="143"/>
      <c r="D22" s="143"/>
      <c r="E22" s="143"/>
      <c r="F22" s="144"/>
    </row>
    <row r="23" spans="1:6" ht="13.2" thickBot="1" x14ac:dyDescent="0.25">
      <c r="A23" s="96" t="s">
        <v>106</v>
      </c>
      <c r="B23" s="145"/>
      <c r="C23" s="145"/>
      <c r="D23" s="145"/>
      <c r="E23" s="145"/>
      <c r="F23" s="146"/>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Key!$H$3:$H$80</xm:f>
          </x14:formula1>
          <xm:sqref>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72"/>
  <sheetViews>
    <sheetView workbookViewId="0">
      <selection activeCell="H25" sqref="H25"/>
    </sheetView>
  </sheetViews>
  <sheetFormatPr defaultColWidth="8.69921875" defaultRowHeight="14.4" x14ac:dyDescent="0.3"/>
  <cols>
    <col min="1" max="1" width="8.69921875" style="52"/>
    <col min="2" max="2" width="25.5" style="52" customWidth="1"/>
    <col min="3" max="3" width="8.69921875" style="52"/>
    <col min="4" max="4" width="19.296875" style="52" customWidth="1"/>
    <col min="5" max="5" width="8.69921875" style="52"/>
    <col min="6" max="6" width="21.796875" style="52" customWidth="1"/>
    <col min="7" max="16384" width="8.69921875" style="52"/>
  </cols>
  <sheetData>
    <row r="2" spans="2:11" ht="15" thickBot="1" x14ac:dyDescent="0.35">
      <c r="B2" s="68" t="s">
        <v>130</v>
      </c>
      <c r="D2" s="53" t="s">
        <v>116</v>
      </c>
      <c r="F2" s="52" t="s">
        <v>5</v>
      </c>
      <c r="H2" s="52" t="s">
        <v>29</v>
      </c>
      <c r="K2" s="53" t="s">
        <v>13</v>
      </c>
    </row>
    <row r="3" spans="2:11" x14ac:dyDescent="0.3">
      <c r="B3" s="68" t="s">
        <v>117</v>
      </c>
      <c r="D3" s="73" t="s">
        <v>30</v>
      </c>
      <c r="F3" s="55" t="s">
        <v>31</v>
      </c>
      <c r="H3" s="101" t="s">
        <v>72</v>
      </c>
      <c r="K3" s="56" t="s">
        <v>15</v>
      </c>
    </row>
    <row r="4" spans="2:11" x14ac:dyDescent="0.3">
      <c r="B4" s="68" t="s">
        <v>131</v>
      </c>
      <c r="D4" s="54" t="s">
        <v>32</v>
      </c>
      <c r="F4" s="57" t="s">
        <v>33</v>
      </c>
      <c r="H4" s="70" t="s">
        <v>114</v>
      </c>
      <c r="K4" s="58" t="s">
        <v>13</v>
      </c>
    </row>
    <row r="5" spans="2:11" x14ac:dyDescent="0.3">
      <c r="B5" s="68" t="s">
        <v>132</v>
      </c>
      <c r="D5" s="73" t="s">
        <v>35</v>
      </c>
      <c r="F5" s="59" t="s">
        <v>36</v>
      </c>
      <c r="H5" s="102" t="s">
        <v>216</v>
      </c>
    </row>
    <row r="6" spans="2:11" x14ac:dyDescent="0.3">
      <c r="B6" s="68" t="s">
        <v>133</v>
      </c>
      <c r="D6" s="54" t="s">
        <v>38</v>
      </c>
      <c r="F6" s="57" t="s">
        <v>39</v>
      </c>
      <c r="H6" s="103" t="s">
        <v>83</v>
      </c>
    </row>
    <row r="7" spans="2:11" x14ac:dyDescent="0.3">
      <c r="B7" s="68" t="s">
        <v>118</v>
      </c>
      <c r="D7" s="73" t="s">
        <v>40</v>
      </c>
      <c r="F7" s="59" t="s">
        <v>41</v>
      </c>
      <c r="H7" s="70" t="s">
        <v>78</v>
      </c>
    </row>
    <row r="8" spans="2:11" x14ac:dyDescent="0.3">
      <c r="B8" s="68" t="s">
        <v>135</v>
      </c>
      <c r="D8" s="54" t="s">
        <v>43</v>
      </c>
      <c r="F8" s="57" t="s">
        <v>44</v>
      </c>
      <c r="H8" s="101" t="s">
        <v>47</v>
      </c>
      <c r="K8" s="52" t="s">
        <v>129</v>
      </c>
    </row>
    <row r="9" spans="2:11" x14ac:dyDescent="0.3">
      <c r="B9" s="68" t="s">
        <v>136</v>
      </c>
      <c r="D9" s="73" t="s">
        <v>45</v>
      </c>
      <c r="F9" s="59" t="s">
        <v>46</v>
      </c>
      <c r="H9" s="69" t="s">
        <v>12</v>
      </c>
      <c r="K9" s="52" t="s">
        <v>128</v>
      </c>
    </row>
    <row r="10" spans="2:11" x14ac:dyDescent="0.3">
      <c r="B10" s="68" t="s">
        <v>138</v>
      </c>
      <c r="D10" s="54" t="s">
        <v>48</v>
      </c>
      <c r="F10" s="57" t="s">
        <v>49</v>
      </c>
      <c r="H10" s="104" t="s">
        <v>137</v>
      </c>
    </row>
    <row r="11" spans="2:11" x14ac:dyDescent="0.3">
      <c r="B11" s="68" t="s">
        <v>140</v>
      </c>
      <c r="D11" s="73" t="s">
        <v>50</v>
      </c>
      <c r="F11" s="59" t="s">
        <v>51</v>
      </c>
      <c r="H11" s="70" t="s">
        <v>139</v>
      </c>
      <c r="K11" s="52" t="s">
        <v>122</v>
      </c>
    </row>
    <row r="12" spans="2:11" x14ac:dyDescent="0.3">
      <c r="B12" s="68" t="s">
        <v>141</v>
      </c>
      <c r="F12" s="57" t="s">
        <v>52</v>
      </c>
      <c r="H12" s="105" t="s">
        <v>199</v>
      </c>
      <c r="K12" s="52" t="s">
        <v>123</v>
      </c>
    </row>
    <row r="13" spans="2:11" x14ac:dyDescent="0.3">
      <c r="B13" s="68" t="s">
        <v>143</v>
      </c>
      <c r="F13" s="59" t="s">
        <v>53</v>
      </c>
      <c r="H13" s="105" t="s">
        <v>34</v>
      </c>
    </row>
    <row r="14" spans="2:11" x14ac:dyDescent="0.3">
      <c r="B14" s="68" t="s">
        <v>145</v>
      </c>
      <c r="D14" s="60"/>
      <c r="F14" s="57" t="s">
        <v>54</v>
      </c>
      <c r="H14" s="106" t="s">
        <v>142</v>
      </c>
    </row>
    <row r="15" spans="2:11" x14ac:dyDescent="0.3">
      <c r="B15" s="68" t="s">
        <v>119</v>
      </c>
      <c r="D15" s="61"/>
      <c r="F15" s="59" t="s">
        <v>56</v>
      </c>
      <c r="H15" s="105" t="s">
        <v>144</v>
      </c>
    </row>
    <row r="16" spans="2:11" x14ac:dyDescent="0.3">
      <c r="B16" s="68" t="s">
        <v>57</v>
      </c>
      <c r="D16" s="61"/>
      <c r="F16" s="57" t="s">
        <v>58</v>
      </c>
      <c r="H16" s="107" t="s">
        <v>146</v>
      </c>
    </row>
    <row r="17" spans="2:8" ht="27.6" x14ac:dyDescent="0.3">
      <c r="B17" s="68" t="s">
        <v>148</v>
      </c>
      <c r="D17" s="61"/>
      <c r="F17" s="59" t="s">
        <v>59</v>
      </c>
      <c r="H17" s="105" t="s">
        <v>147</v>
      </c>
    </row>
    <row r="18" spans="2:8" x14ac:dyDescent="0.3">
      <c r="B18" s="68" t="s">
        <v>150</v>
      </c>
      <c r="D18" s="61"/>
      <c r="F18" s="57" t="s">
        <v>60</v>
      </c>
      <c r="H18" s="107" t="s">
        <v>61</v>
      </c>
    </row>
    <row r="19" spans="2:8" x14ac:dyDescent="0.3">
      <c r="B19" s="68" t="s">
        <v>151</v>
      </c>
      <c r="D19" s="61"/>
      <c r="F19" s="59" t="s">
        <v>62</v>
      </c>
      <c r="H19" s="108" t="s">
        <v>149</v>
      </c>
    </row>
    <row r="20" spans="2:8" x14ac:dyDescent="0.3">
      <c r="B20" s="68" t="s">
        <v>152</v>
      </c>
      <c r="D20" s="61"/>
      <c r="F20" s="57" t="s">
        <v>63</v>
      </c>
      <c r="H20" s="106" t="s">
        <v>202</v>
      </c>
    </row>
    <row r="21" spans="2:8" x14ac:dyDescent="0.3">
      <c r="B21" s="68" t="s">
        <v>120</v>
      </c>
      <c r="D21" s="61"/>
      <c r="F21" s="59" t="s">
        <v>64</v>
      </c>
      <c r="H21" s="70" t="s">
        <v>110</v>
      </c>
    </row>
    <row r="22" spans="2:8" x14ac:dyDescent="0.3">
      <c r="B22" s="68" t="s">
        <v>153</v>
      </c>
      <c r="D22" s="61"/>
      <c r="F22" s="57" t="s">
        <v>66</v>
      </c>
      <c r="H22" s="109" t="s">
        <v>222</v>
      </c>
    </row>
    <row r="23" spans="2:8" x14ac:dyDescent="0.3">
      <c r="B23" s="68" t="s">
        <v>154</v>
      </c>
      <c r="D23" s="61"/>
      <c r="F23" s="59" t="s">
        <v>68</v>
      </c>
      <c r="H23" s="110" t="s">
        <v>75</v>
      </c>
    </row>
    <row r="24" spans="2:8" x14ac:dyDescent="0.3">
      <c r="B24" s="68" t="s">
        <v>155</v>
      </c>
      <c r="D24" s="61"/>
      <c r="F24" s="57" t="s">
        <v>69</v>
      </c>
      <c r="H24" s="111" t="s">
        <v>203</v>
      </c>
    </row>
    <row r="25" spans="2:8" x14ac:dyDescent="0.3">
      <c r="B25" s="68" t="s">
        <v>156</v>
      </c>
      <c r="D25" s="61"/>
      <c r="F25" s="59" t="s">
        <v>70</v>
      </c>
      <c r="H25" s="112" t="s">
        <v>108</v>
      </c>
    </row>
    <row r="26" spans="2:8" x14ac:dyDescent="0.3">
      <c r="B26" s="68" t="s">
        <v>158</v>
      </c>
      <c r="F26" s="57" t="s">
        <v>71</v>
      </c>
      <c r="H26" s="72" t="s">
        <v>121</v>
      </c>
    </row>
    <row r="27" spans="2:8" x14ac:dyDescent="0.3">
      <c r="B27" s="68" t="s">
        <v>159</v>
      </c>
      <c r="D27" s="61"/>
      <c r="F27" s="59" t="s">
        <v>73</v>
      </c>
      <c r="H27" s="110" t="s">
        <v>111</v>
      </c>
    </row>
    <row r="28" spans="2:8" x14ac:dyDescent="0.3">
      <c r="B28" s="68" t="s">
        <v>160</v>
      </c>
      <c r="D28" s="61"/>
      <c r="F28" s="57" t="s">
        <v>74</v>
      </c>
      <c r="H28" s="72" t="s">
        <v>115</v>
      </c>
    </row>
    <row r="29" spans="2:8" x14ac:dyDescent="0.3">
      <c r="B29" s="68" t="s">
        <v>79</v>
      </c>
      <c r="F29" s="59" t="s">
        <v>76</v>
      </c>
      <c r="H29" s="113" t="s">
        <v>204</v>
      </c>
    </row>
    <row r="30" spans="2:8" x14ac:dyDescent="0.3">
      <c r="B30" s="68" t="s">
        <v>162</v>
      </c>
      <c r="F30" s="57" t="s">
        <v>77</v>
      </c>
      <c r="H30" s="111" t="s">
        <v>205</v>
      </c>
    </row>
    <row r="31" spans="2:8" x14ac:dyDescent="0.3">
      <c r="B31" s="68" t="s">
        <v>84</v>
      </c>
      <c r="F31" s="59" t="s">
        <v>80</v>
      </c>
      <c r="H31" s="112" t="s">
        <v>42</v>
      </c>
    </row>
    <row r="32" spans="2:8" x14ac:dyDescent="0.3">
      <c r="B32" s="68" t="s">
        <v>163</v>
      </c>
      <c r="F32" s="57" t="s">
        <v>81</v>
      </c>
      <c r="H32" s="71" t="s">
        <v>157</v>
      </c>
    </row>
    <row r="33" spans="2:8" x14ac:dyDescent="0.3">
      <c r="B33" s="68" t="s">
        <v>165</v>
      </c>
      <c r="F33" s="59" t="s">
        <v>82</v>
      </c>
      <c r="H33" s="71" t="s">
        <v>200</v>
      </c>
    </row>
    <row r="34" spans="2:8" x14ac:dyDescent="0.3">
      <c r="B34" s="68" t="s">
        <v>166</v>
      </c>
      <c r="F34" s="57" t="s">
        <v>85</v>
      </c>
      <c r="H34" s="114" t="s">
        <v>127</v>
      </c>
    </row>
    <row r="35" spans="2:8" x14ac:dyDescent="0.3">
      <c r="B35" s="68" t="s">
        <v>168</v>
      </c>
      <c r="F35" s="59" t="s">
        <v>86</v>
      </c>
      <c r="H35" s="113" t="s">
        <v>206</v>
      </c>
    </row>
    <row r="36" spans="2:8" x14ac:dyDescent="0.3">
      <c r="B36" s="68" t="s">
        <v>169</v>
      </c>
      <c r="F36" s="57" t="s">
        <v>88</v>
      </c>
      <c r="H36" s="104" t="s">
        <v>201</v>
      </c>
    </row>
    <row r="37" spans="2:8" x14ac:dyDescent="0.3">
      <c r="B37" s="68" t="s">
        <v>91</v>
      </c>
      <c r="F37" s="57" t="s">
        <v>89</v>
      </c>
      <c r="H37" s="71" t="s">
        <v>65</v>
      </c>
    </row>
    <row r="38" spans="2:8" x14ac:dyDescent="0.3">
      <c r="B38" s="68" t="s">
        <v>112</v>
      </c>
      <c r="F38" s="57" t="s">
        <v>90</v>
      </c>
      <c r="H38" s="111" t="s">
        <v>207</v>
      </c>
    </row>
    <row r="39" spans="2:8" x14ac:dyDescent="0.3">
      <c r="B39" s="68" t="s">
        <v>171</v>
      </c>
      <c r="F39" s="57" t="s">
        <v>92</v>
      </c>
      <c r="H39" s="113" t="s">
        <v>208</v>
      </c>
    </row>
    <row r="40" spans="2:8" x14ac:dyDescent="0.3">
      <c r="B40" s="68" t="s">
        <v>172</v>
      </c>
      <c r="H40" s="114" t="s">
        <v>161</v>
      </c>
    </row>
    <row r="41" spans="2:8" x14ac:dyDescent="0.3">
      <c r="B41" s="64"/>
      <c r="D41" s="65"/>
      <c r="H41" s="72" t="s">
        <v>124</v>
      </c>
    </row>
    <row r="42" spans="2:8" x14ac:dyDescent="0.3">
      <c r="B42" s="62"/>
      <c r="H42" s="111" t="s">
        <v>217</v>
      </c>
    </row>
    <row r="43" spans="2:8" x14ac:dyDescent="0.3">
      <c r="H43" s="113" t="s">
        <v>218</v>
      </c>
    </row>
    <row r="44" spans="2:8" ht="27.6" x14ac:dyDescent="0.3">
      <c r="B44" s="63"/>
      <c r="H44" s="111" t="s">
        <v>209</v>
      </c>
    </row>
    <row r="45" spans="2:8" x14ac:dyDescent="0.3">
      <c r="H45" s="71" t="s">
        <v>178</v>
      </c>
    </row>
    <row r="46" spans="2:8" x14ac:dyDescent="0.3">
      <c r="H46" s="115" t="s">
        <v>210</v>
      </c>
    </row>
    <row r="47" spans="2:8" x14ac:dyDescent="0.3">
      <c r="B47" s="63"/>
      <c r="H47" s="114" t="s">
        <v>164</v>
      </c>
    </row>
    <row r="48" spans="2:8" x14ac:dyDescent="0.3">
      <c r="H48" s="116" t="s">
        <v>211</v>
      </c>
    </row>
    <row r="49" spans="8:8" x14ac:dyDescent="0.3">
      <c r="H49" s="102" t="s">
        <v>212</v>
      </c>
    </row>
    <row r="50" spans="8:8" x14ac:dyDescent="0.3">
      <c r="H50" s="109" t="s">
        <v>219</v>
      </c>
    </row>
    <row r="51" spans="8:8" x14ac:dyDescent="0.3">
      <c r="H51" s="113" t="s">
        <v>220</v>
      </c>
    </row>
    <row r="52" spans="8:8" x14ac:dyDescent="0.3">
      <c r="H52" s="72" t="s">
        <v>167</v>
      </c>
    </row>
    <row r="53" spans="8:8" x14ac:dyDescent="0.3">
      <c r="H53" s="114" t="s">
        <v>37</v>
      </c>
    </row>
    <row r="54" spans="8:8" x14ac:dyDescent="0.3">
      <c r="H54" s="72" t="s">
        <v>170</v>
      </c>
    </row>
    <row r="55" spans="8:8" x14ac:dyDescent="0.3">
      <c r="H55" s="114" t="s">
        <v>125</v>
      </c>
    </row>
    <row r="56" spans="8:8" x14ac:dyDescent="0.3">
      <c r="H56" s="72" t="s">
        <v>55</v>
      </c>
    </row>
    <row r="57" spans="8:8" x14ac:dyDescent="0.3">
      <c r="H57" s="114" t="s">
        <v>107</v>
      </c>
    </row>
    <row r="58" spans="8:8" x14ac:dyDescent="0.3">
      <c r="H58" s="71" t="s">
        <v>67</v>
      </c>
    </row>
    <row r="59" spans="8:8" x14ac:dyDescent="0.3">
      <c r="H59" s="114" t="s">
        <v>113</v>
      </c>
    </row>
    <row r="60" spans="8:8" x14ac:dyDescent="0.3">
      <c r="H60" s="71" t="s">
        <v>87</v>
      </c>
    </row>
    <row r="61" spans="8:8" x14ac:dyDescent="0.3">
      <c r="H61" s="117" t="s">
        <v>213</v>
      </c>
    </row>
    <row r="62" spans="8:8" x14ac:dyDescent="0.3">
      <c r="H62" s="111" t="s">
        <v>214</v>
      </c>
    </row>
    <row r="63" spans="8:8" x14ac:dyDescent="0.3">
      <c r="H63" s="114" t="s">
        <v>173</v>
      </c>
    </row>
    <row r="64" spans="8:8" x14ac:dyDescent="0.3">
      <c r="H64" s="113" t="s">
        <v>221</v>
      </c>
    </row>
    <row r="65" spans="8:8" x14ac:dyDescent="0.3">
      <c r="H65" s="111" t="s">
        <v>215</v>
      </c>
    </row>
    <row r="66" spans="8:8" x14ac:dyDescent="0.3">
      <c r="H66" s="72" t="s">
        <v>174</v>
      </c>
    </row>
    <row r="67" spans="8:8" x14ac:dyDescent="0.3">
      <c r="H67" s="114" t="s">
        <v>175</v>
      </c>
    </row>
    <row r="68" spans="8:8" x14ac:dyDescent="0.3">
      <c r="H68" s="118" t="s">
        <v>190</v>
      </c>
    </row>
    <row r="69" spans="8:8" x14ac:dyDescent="0.3">
      <c r="H69" s="71" t="s">
        <v>126</v>
      </c>
    </row>
    <row r="70" spans="8:8" x14ac:dyDescent="0.3">
      <c r="H70" s="112" t="s">
        <v>176</v>
      </c>
    </row>
    <row r="71" spans="8:8" x14ac:dyDescent="0.3">
      <c r="H71" s="71" t="s">
        <v>177</v>
      </c>
    </row>
    <row r="72" spans="8:8" x14ac:dyDescent="0.3">
      <c r="H72" s="112" t="s">
        <v>93</v>
      </c>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7193D0-BD9F-46D5-9DAF-102466AD2F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D3D48B-1E50-4DD7-9AA1-4994540563B6}">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3.xml><?xml version="1.0" encoding="utf-8"?>
<ds:datastoreItem xmlns:ds="http://schemas.openxmlformats.org/officeDocument/2006/customXml" ds:itemID="{FD06A19B-ABC5-498E-B71F-581E6096065C}">
  <ds:schemaRefs>
    <ds:schemaRef ds:uri="http://schemas.microsoft.com/sharepoint/v3/contenttype/forms"/>
  </ds:schemaRefs>
</ds:datastoreItem>
</file>

<file path=docMetadata/LabelInfo.xml><?xml version="1.0" encoding="utf-8"?>
<clbl:labelList xmlns:clbl="http://schemas.microsoft.com/office/2020/mipLabelMetadata">
  <clbl:label id="{5138fff4-6130-46cf-adb5-ec5d984d54d5}" enabled="1" method="Privileged" siteId="{174c7352-9c5c-4558-b848-be140b444e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Apr</vt:lpstr>
      <vt:lpstr>May</vt:lpstr>
      <vt:lpstr>Jun</vt:lpstr>
      <vt:lpstr>Jul</vt:lpstr>
      <vt:lpstr>Aug</vt:lpstr>
      <vt:lpstr>Sep</vt:lpstr>
      <vt:lpstr>Expense Claim</vt:lpstr>
      <vt:lpstr>Leave</vt:lpstr>
      <vt:lpstr>Key</vt:lpstr>
      <vt:lpstr>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Zanele Khumalo</dc:creator>
  <cp:lastModifiedBy>Neo Motaung</cp:lastModifiedBy>
  <dcterms:created xsi:type="dcterms:W3CDTF">2020-04-02T09:04:10Z</dcterms:created>
  <dcterms:modified xsi:type="dcterms:W3CDTF">2025-06-05T06:00:44Z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ies>
</file>
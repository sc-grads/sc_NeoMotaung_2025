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neo_motaung_sambeconsulting_com/Documents/Documents/Timesheets/Nathalia/"/>
    </mc:Choice>
  </mc:AlternateContent>
  <xr:revisionPtr revIDLastSave="2389" documentId="13_ncr:1_{14D3A681-9E7D-4131-8FD0-E42F6B671399}" xr6:coauthVersionLast="47" xr6:coauthVersionMax="47" xr10:uidLastSave="{3E6BE7BF-35D6-4A31-87C3-92A2743A4AE3}"/>
  <bookViews>
    <workbookView xWindow="-108" yWindow="-108" windowWidth="23256" windowHeight="12456" firstSheet="1" activeTab="1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Time">May!$A$8:$J$209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8" i="1" l="1"/>
  <c r="H207" i="1"/>
  <c r="H206" i="1"/>
  <c r="H205" i="1"/>
  <c r="H204" i="1"/>
  <c r="H203" i="1"/>
  <c r="H202" i="1"/>
  <c r="H201" i="1"/>
  <c r="H199" i="1"/>
  <c r="H198" i="1"/>
  <c r="H197" i="1"/>
  <c r="H196" i="1"/>
  <c r="H195" i="1"/>
  <c r="H194" i="1"/>
  <c r="H193" i="1"/>
  <c r="H192" i="1"/>
  <c r="H190" i="1"/>
  <c r="H189" i="1"/>
  <c r="H188" i="1"/>
  <c r="H187" i="1"/>
  <c r="H186" i="1"/>
  <c r="H185" i="1"/>
  <c r="H184" i="1"/>
  <c r="H183" i="1"/>
  <c r="H181" i="1"/>
  <c r="H180" i="1"/>
  <c r="H179" i="1"/>
  <c r="H178" i="1"/>
  <c r="H177" i="1"/>
  <c r="H176" i="1"/>
  <c r="H175" i="1"/>
  <c r="H174" i="1"/>
  <c r="H172" i="1"/>
  <c r="H169" i="1"/>
  <c r="H165" i="1"/>
  <c r="H166" i="1"/>
  <c r="H167" i="1"/>
  <c r="H168" i="1"/>
  <c r="H170" i="1"/>
  <c r="H171" i="1"/>
  <c r="H120" i="1"/>
  <c r="H119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61" i="1"/>
  <c r="H62" i="1"/>
  <c r="H59" i="1"/>
  <c r="H56" i="1"/>
  <c r="H49" i="1"/>
  <c r="H50" i="1"/>
  <c r="H51" i="1"/>
  <c r="H43" i="1"/>
  <c r="H42" i="1"/>
  <c r="H39" i="1"/>
  <c r="H32" i="1"/>
  <c r="H31" i="1"/>
  <c r="H28" i="1"/>
  <c r="H29" i="1"/>
  <c r="H70" i="1"/>
  <c r="H69" i="1"/>
  <c r="H68" i="1"/>
  <c r="H67" i="1"/>
  <c r="H66" i="1"/>
  <c r="H64" i="1"/>
  <c r="H63" i="1"/>
  <c r="H60" i="1"/>
  <c r="H58" i="1"/>
  <c r="H57" i="1"/>
  <c r="H55" i="1"/>
  <c r="H53" i="1"/>
  <c r="H52" i="1"/>
  <c r="H48" i="1"/>
  <c r="H47" i="1"/>
  <c r="H46" i="1"/>
  <c r="H44" i="1"/>
  <c r="H41" i="1"/>
  <c r="H40" i="1"/>
  <c r="H38" i="1"/>
  <c r="H37" i="1"/>
  <c r="H36" i="1"/>
  <c r="H35" i="1"/>
  <c r="H30" i="1"/>
  <c r="H33" i="1"/>
  <c r="H24" i="1"/>
  <c r="H25" i="1"/>
  <c r="H26" i="1"/>
  <c r="H27" i="1"/>
  <c r="H34" i="1"/>
  <c r="H45" i="1"/>
  <c r="H54" i="1"/>
  <c r="H15" i="1"/>
  <c r="H18" i="1"/>
  <c r="H19" i="1"/>
  <c r="H16" i="1"/>
  <c r="H17" i="1"/>
  <c r="H20" i="1"/>
  <c r="H11" i="1"/>
  <c r="H12" i="1"/>
  <c r="H13" i="1"/>
  <c r="H14" i="1"/>
  <c r="F210" i="10"/>
  <c r="H201" i="10"/>
  <c r="H202" i="10"/>
  <c r="F206" i="10"/>
  <c r="F209" i="10"/>
  <c r="H191" i="10"/>
  <c r="H203" i="10"/>
  <c r="H200" i="10"/>
  <c r="H199" i="10"/>
  <c r="H198" i="10"/>
  <c r="H197" i="10"/>
  <c r="H196" i="10"/>
  <c r="H195" i="10"/>
  <c r="H192" i="10"/>
  <c r="H193" i="10"/>
  <c r="H194" i="10"/>
  <c r="H187" i="10"/>
  <c r="H188" i="10"/>
  <c r="H189" i="10"/>
  <c r="H190" i="10"/>
  <c r="H178" i="10"/>
  <c r="H181" i="10"/>
  <c r="H180" i="10"/>
  <c r="H175" i="10"/>
  <c r="H176" i="10"/>
  <c r="H177" i="10"/>
  <c r="H179" i="10"/>
  <c r="H182" i="10"/>
  <c r="H183" i="10"/>
  <c r="H184" i="10"/>
  <c r="H185" i="10"/>
  <c r="H171" i="10"/>
  <c r="H172" i="10"/>
  <c r="H173" i="10"/>
  <c r="H169" i="10"/>
  <c r="H170" i="10"/>
  <c r="H167" i="10"/>
  <c r="H168" i="10"/>
  <c r="H174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53" i="10"/>
  <c r="H152" i="10"/>
  <c r="H151" i="10"/>
  <c r="H150" i="10"/>
  <c r="H149" i="10"/>
  <c r="H148" i="10"/>
  <c r="H147" i="10"/>
  <c r="H146" i="10"/>
  <c r="H138" i="10"/>
  <c r="H139" i="10"/>
  <c r="H140" i="10"/>
  <c r="H141" i="10"/>
  <c r="H130" i="10"/>
  <c r="H131" i="10"/>
  <c r="H132" i="10"/>
  <c r="H126" i="10"/>
  <c r="H127" i="10"/>
  <c r="H128" i="10"/>
  <c r="H129" i="10"/>
  <c r="H133" i="10"/>
  <c r="H118" i="10"/>
  <c r="H117" i="10"/>
  <c r="H116" i="10"/>
  <c r="H115" i="10"/>
  <c r="H114" i="10"/>
  <c r="H113" i="10"/>
  <c r="H120" i="10"/>
  <c r="H107" i="10"/>
  <c r="H106" i="10"/>
  <c r="H104" i="10"/>
  <c r="H105" i="10"/>
  <c r="H103" i="10"/>
  <c r="H137" i="10"/>
  <c r="H136" i="10"/>
  <c r="H135" i="10"/>
  <c r="H134" i="10"/>
  <c r="H125" i="10"/>
  <c r="H124" i="10"/>
  <c r="H123" i="10"/>
  <c r="H122" i="10"/>
  <c r="H119" i="10"/>
  <c r="H112" i="10"/>
  <c r="H111" i="10"/>
  <c r="H110" i="10"/>
  <c r="H109" i="10"/>
  <c r="H98" i="10"/>
  <c r="H99" i="10"/>
  <c r="H100" i="10"/>
  <c r="H101" i="10"/>
  <c r="H102" i="10"/>
  <c r="H92" i="10"/>
  <c r="H93" i="10"/>
  <c r="H85" i="10"/>
  <c r="H86" i="10"/>
  <c r="H83" i="10"/>
  <c r="H84" i="10"/>
  <c r="H81" i="10"/>
  <c r="H82" i="10"/>
  <c r="H73" i="10"/>
  <c r="H74" i="10"/>
  <c r="H75" i="10"/>
  <c r="H68" i="10"/>
  <c r="H69" i="10"/>
  <c r="H70" i="10"/>
  <c r="H71" i="10"/>
  <c r="H72" i="10"/>
  <c r="H67" i="10"/>
  <c r="H57" i="10"/>
  <c r="H58" i="10"/>
  <c r="H59" i="10"/>
  <c r="H60" i="10"/>
  <c r="H55" i="10"/>
  <c r="H56" i="10"/>
  <c r="H61" i="10"/>
  <c r="H62" i="10"/>
  <c r="H63" i="10"/>
  <c r="H64" i="10"/>
  <c r="H48" i="10"/>
  <c r="H47" i="10"/>
  <c r="H49" i="10"/>
  <c r="H50" i="10"/>
  <c r="H51" i="10"/>
  <c r="H52" i="10"/>
  <c r="H53" i="10"/>
  <c r="H54" i="10"/>
  <c r="H65" i="10"/>
  <c r="H66" i="10"/>
  <c r="H76" i="10"/>
  <c r="H77" i="10"/>
  <c r="H78" i="10"/>
  <c r="H79" i="10"/>
  <c r="H80" i="10"/>
  <c r="H87" i="10"/>
  <c r="H88" i="10"/>
  <c r="H89" i="10"/>
  <c r="H90" i="10"/>
  <c r="H91" i="10"/>
  <c r="H94" i="10"/>
  <c r="H40" i="10"/>
  <c r="H41" i="10"/>
  <c r="H42" i="10"/>
  <c r="H43" i="10"/>
  <c r="H35" i="10"/>
  <c r="H36" i="10"/>
  <c r="H37" i="10"/>
  <c r="H38" i="10"/>
  <c r="H39" i="10"/>
  <c r="H44" i="10"/>
  <c r="H34" i="10"/>
  <c r="H28" i="10"/>
  <c r="H29" i="10"/>
  <c r="H30" i="10"/>
  <c r="H31" i="10"/>
  <c r="H32" i="10"/>
  <c r="H33" i="10"/>
  <c r="H27" i="10"/>
  <c r="H26" i="10"/>
  <c r="H25" i="10"/>
  <c r="H24" i="10"/>
  <c r="H23" i="10"/>
  <c r="H22" i="10"/>
  <c r="H21" i="10"/>
  <c r="H20" i="10"/>
  <c r="H15" i="10"/>
  <c r="H16" i="10"/>
  <c r="H17" i="10"/>
  <c r="H14" i="10"/>
  <c r="H18" i="10"/>
  <c r="H19" i="10"/>
  <c r="H10" i="10"/>
  <c r="H11" i="10"/>
  <c r="H12" i="10"/>
  <c r="H13" i="10"/>
  <c r="F44" i="6" l="1"/>
  <c r="F43" i="6"/>
  <c r="F45" i="4"/>
  <c r="F44" i="4"/>
  <c r="F44" i="3"/>
  <c r="F43" i="3"/>
  <c r="F214" i="1"/>
  <c r="H9" i="6"/>
  <c r="H32" i="6"/>
  <c r="F45" i="5"/>
  <c r="F44" i="5"/>
  <c r="H9" i="5"/>
  <c r="H37" i="5"/>
  <c r="H38" i="5"/>
  <c r="H39" i="5"/>
  <c r="H9" i="4"/>
  <c r="H10" i="1"/>
  <c r="H209" i="1"/>
  <c r="H39" i="4"/>
  <c r="D14" i="9"/>
  <c r="F17" i="8"/>
  <c r="B6" i="8" s="1"/>
  <c r="H9" i="10" l="1"/>
  <c r="F211" i="10" s="1"/>
  <c r="H186" i="10"/>
  <c r="H145" i="10"/>
  <c r="H144" i="10"/>
  <c r="H143" i="10"/>
  <c r="H142" i="10"/>
  <c r="H121" i="10"/>
  <c r="H108" i="10"/>
  <c r="H97" i="10"/>
  <c r="H96" i="10"/>
  <c r="H95" i="10"/>
  <c r="H46" i="10"/>
  <c r="H45" i="10"/>
  <c r="H31" i="3"/>
  <c r="B6" i="10" l="1"/>
  <c r="H12" i="4"/>
  <c r="H10" i="4"/>
  <c r="H11" i="4"/>
  <c r="H32" i="3"/>
  <c r="H21" i="1"/>
  <c r="H10" i="5"/>
  <c r="H9" i="3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22" i="1"/>
  <c r="H23" i="1"/>
  <c r="H65" i="1"/>
  <c r="H71" i="1"/>
  <c r="H72" i="1"/>
  <c r="H73" i="1"/>
  <c r="H162" i="1"/>
  <c r="H163" i="1"/>
  <c r="H164" i="1"/>
  <c r="H173" i="1"/>
  <c r="H182" i="1"/>
  <c r="H191" i="1"/>
  <c r="H200" i="1"/>
  <c r="F215" i="1" l="1"/>
  <c r="H10" i="6"/>
  <c r="H11" i="6"/>
  <c r="H12" i="6"/>
  <c r="H10" i="3"/>
  <c r="H11" i="3"/>
  <c r="H12" i="3"/>
  <c r="H13" i="3"/>
  <c r="F211" i="1"/>
  <c r="F46" i="4" l="1"/>
  <c r="F46" i="5"/>
  <c r="F45" i="6"/>
  <c r="B6" i="6"/>
  <c r="B6" i="5"/>
  <c r="B6" i="4"/>
  <c r="F45" i="3"/>
  <c r="B6" i="3"/>
  <c r="F216" i="1"/>
  <c r="B6" i="1"/>
</calcChain>
</file>

<file path=xl/sharedStrings.xml><?xml version="1.0" encoding="utf-8"?>
<sst xmlns="http://schemas.openxmlformats.org/spreadsheetml/2006/main" count="2753" uniqueCount="384">
  <si>
    <t>Consultant</t>
  </si>
  <si>
    <t>Nathalia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</si>
  <si>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</si>
  <si>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</si>
  <si>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</si>
  <si>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</si>
  <si>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</si>
  <si>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</si>
  <si>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</si>
  <si>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</si>
  <si>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</si>
  <si>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</si>
  <si>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</si>
  <si>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Tuesday</t>
  </si>
  <si>
    <t>Internal Sambe</t>
  </si>
  <si>
    <t>Graduate programme</t>
  </si>
  <si>
    <t>Meeting</t>
  </si>
  <si>
    <t>Non-Billable</t>
  </si>
  <si>
    <t>Meetings were held with mentors Bongani and Clement throughout the day. Check-in at 07:50. Jira board administration and Stand-up morning meeting at 08:00-08:11  with Clement.</t>
  </si>
  <si>
    <t>Training</t>
  </si>
  <si>
    <t>Training and research on Udemy Soft Skills course and Linux Fundamentals course. Jira board administration. Helping out fellow graduates on a MS Teams call</t>
  </si>
  <si>
    <t>Check-in meeting with Accountability Partner. Continuation with Documentation.</t>
  </si>
  <si>
    <t>Accountability Partner Meeting with Clement.</t>
  </si>
  <si>
    <t>Training and research on Udemy Soft Skills course and Linux Fundamentals course. Jira board administration. Documentation on Confluence.</t>
  </si>
  <si>
    <t>Progress Report Meeting with Clement at 11:00. Jira board administration</t>
  </si>
  <si>
    <t>Lunch</t>
  </si>
  <si>
    <t>Lunch break taken at 12:05.</t>
  </si>
  <si>
    <t>Jira board administration. Documentation on Confluence. Gitbash and GitHub administration. Meeting with accountability partner.</t>
  </si>
  <si>
    <t>Training and research on Udemy  Linux Fundamentals course. Jira board administration. Documentation on Confluence. Gitbash and GitHub administration.</t>
  </si>
  <si>
    <t>Afternoon meeting at 16:00 with mentors Bongani and Clement. Meeting discussion on Soft Skills course. Checkout at 17:35.</t>
  </si>
  <si>
    <t>Wednesday</t>
  </si>
  <si>
    <t>Meetings were held with mentors Bongani and Clement throughout the day. Check-in at 07:50. Jira board administration and Stand-up morning meeting at 08:00-08:15  with Clement. Automation Project Part 3 given (due date tomorrow).</t>
  </si>
  <si>
    <t>Training and research on Udemy  Soft Skills course. Jira board administration. Documentation on Confluence. Gitbash and GitHub administration for Linux Commands. Research on Templating for Part 3 of Automation Project.</t>
  </si>
  <si>
    <t>Accountability Partner Meeting to discuss progress and check-in.</t>
  </si>
  <si>
    <t>Training and research on Automation Project and SSRS Improvements. Jira board administration.</t>
  </si>
  <si>
    <t>Progress Report Meeting with Clement at 11:00. Jira board administration.</t>
  </si>
  <si>
    <t>Research</t>
  </si>
  <si>
    <t>Research on Automation Project and SSRS Improvements. Amending yaml file using templating as per instructions.</t>
  </si>
  <si>
    <t>Lunch break taken at 12:03.</t>
  </si>
  <si>
    <t>Research on Automation Project and SSRS Improvements. Amending yaml file using templating as per instructions. Understanding Linux commands.</t>
  </si>
  <si>
    <t>Afternoon meeting at 16:00 with mentors Bongani and Clement. Meeting discussion on Soft Skills course. Checkout at 17:13.</t>
  </si>
  <si>
    <t>Thursday</t>
  </si>
  <si>
    <t>Meetings were held with mentors Bongani and Clement throughout the day. Check-in at 07:50. Jira board administration and Stand-up morning meeting at 08:00-08:03</t>
  </si>
  <si>
    <t>Training and research on Udemy  Soft Skills course. Jira board administration. Documentation on Confluence. Gitbash and GitHub administration for Part 3 of Automation Project.</t>
  </si>
  <si>
    <t xml:space="preserve">Accountability Partner meeting including check-in, progress reporting and Collaborative Automation Project Testing. </t>
  </si>
  <si>
    <t>Testing</t>
  </si>
  <si>
    <t>Testing out Automation Project Part 3. Fixing errors and collaborating with Accountability partner.</t>
  </si>
  <si>
    <t>Lunch break taken at 12:08.</t>
  </si>
  <si>
    <t>Fixing SSRS Project based on feedback received and assisting Accountability Partner where necessary (meetings).</t>
  </si>
  <si>
    <t>Afternoon meeting at 16:00 with mentors Bongani and Clement. Meeting and Presentation on SSRS Projects.</t>
  </si>
  <si>
    <t>Friday</t>
  </si>
  <si>
    <t>Training and research on Udemy  Soft Skills course. Jira board administration. Documentation on Confluence. Preparation for Automation Testing.</t>
  </si>
  <si>
    <t>Automation Project Part 3 testing with Accountability Partner. Check-in and progress discussion</t>
  </si>
  <si>
    <t>Automation Project Part 3 testing and seeking advice and help from mentors on issues faced.</t>
  </si>
  <si>
    <t>Progress Report Meeting with Clement where Automation project issues and  Microsoft courses discussed.</t>
  </si>
  <si>
    <t>Lunch break at 12:15.</t>
  </si>
  <si>
    <t>Automation Project fixes, Research task on Principles of success. SSRS Udemy course progression. Jira board administration. Documentation on Confluence.</t>
  </si>
  <si>
    <t>Afternoon meeting at 16:00 with mentors Bongani and Clement. Timesheet added before afternoon meeting. Previous Graduate meeting with Question and Answer Session. Checkout at 18:18.</t>
  </si>
  <si>
    <t>Saturday</t>
  </si>
  <si>
    <t>Sunday</t>
  </si>
  <si>
    <t>Monday</t>
  </si>
  <si>
    <t>Meetings were held with mentors Bongani and Clement throughout the day. Check-in at 07:50. Jira board administration and Stand-up morning meeting.</t>
  </si>
  <si>
    <t>Training and Research on Soft Skills Course. Jira Board Administration. Documentation on Confluence. Preparation for Automation Project Submission.</t>
  </si>
  <si>
    <t>GitHub Automation Project Submission.</t>
  </si>
  <si>
    <t>Progress Report Meeting with Clement at 11:00. Jira board administration. Part 2 of Automation submission completed and sent during lunch time.</t>
  </si>
  <si>
    <t>Lunch break taken at 12:09</t>
  </si>
  <si>
    <t>Training on Udemy Build Solutions with Power Apps, Power Automate &amp; SharePoint Course. Documentation on notes and practical work completed. Jira Board Administration.</t>
  </si>
  <si>
    <t>Afternoon meeting at 16:00 with mentors Bongani and Clement. Discussion around introductions to new graduates and Atomic Habits book. Checkout at 17:34.</t>
  </si>
  <si>
    <t>Training and Research on Soft Skills Course and PowerApps, SharePoint and Power Automate Course. Jira Board Administration. Documentation on Confluence.</t>
  </si>
  <si>
    <t>Progress Report Meeting with Clement at 11:00. Jira board administration.  Automation Presentation.</t>
  </si>
  <si>
    <t>Training and Research  PowerApps, SharePoint and Power Automate Course. Jira Board Administration. Documentation on Confluence.</t>
  </si>
  <si>
    <t xml:space="preserve">Progress Report Meeting 2.0 with Clement at 13:15 to provide feedback on progress Jira board administration. </t>
  </si>
  <si>
    <t>Meeting with Accountability Partner. Check-in and Progress.</t>
  </si>
  <si>
    <t>Training and Research on PowerApps, SharePoint and Power Automate Course. Jira Board Administration. Documentation on Confluence.</t>
  </si>
  <si>
    <t>Afternoon meeting at 16:00 with mentors Bongani and Clement.</t>
  </si>
  <si>
    <t>Meeting with Angela. The Data Life Cycle.</t>
  </si>
  <si>
    <t xml:space="preserve">Progress Report Meeting with Clement at 11:00. Jira board administration.  </t>
  </si>
  <si>
    <t>N.I.N.E.S team meeting to welcome new member.</t>
  </si>
  <si>
    <t>Lunch break taken at 12:04.</t>
  </si>
  <si>
    <t>Progress Report Meeting with Clement. Jira board administration.</t>
  </si>
  <si>
    <t>Afternoon meeting at 16:00 with mentors Bongani and Clement. Discussion on Soft Skills and Graduate Requirements and Courses. Accountability Partner Meeting with Bongani.</t>
  </si>
  <si>
    <t>Meetings were held with mentors Bongani and Clement throughout the day. Check-in at 07:50. Jira board administration and Stand-up morning meeting with Clement and Angela.</t>
  </si>
  <si>
    <t>Training and Research on Soft Skills Course and PowerApps, SharePoint and Power Automate Course. Jira Board Administration. Documentation on Confluence</t>
  </si>
  <si>
    <t>Accountability Partner Check-in and Progress Meeting and Discussion.</t>
  </si>
  <si>
    <t>Lunch break taken at 12:02.</t>
  </si>
  <si>
    <t>N.I.N.E.S team meeting to Discuss Presentation Requirements and Topic Assignment.</t>
  </si>
  <si>
    <t>Training and Research on PowerApps, SharePoint and Power Automate Course. Jira Board Administration. Documentation on Confluence. Research on Project Presentation.</t>
  </si>
  <si>
    <t>Afternoon meeting at 16:00 with mentors Bongani and Clement. Discussion on Power Automate, SharePoint and Power Apps Course. App Project given and details discussed.</t>
  </si>
  <si>
    <t>Meetings were held with mentors Bongani and Clement throughout the day. Check-in at 07:49. Jira board administration and Stand-up morning meeting with Bongani.</t>
  </si>
  <si>
    <t>Training and Research on PowerApps, SharePoint and Power Automate Course and Presentation on Data Management Preparation. Jira Board Administration. Documentation on Confluence.</t>
  </si>
  <si>
    <t>Accountability Partner Check-in and Progress Discussion</t>
  </si>
  <si>
    <t>Lunch break taken 12:06.</t>
  </si>
  <si>
    <t>Training and Research on PowerApps, SharePoint and Power Automate Course and Presentation on Data Management Preparation. Jira Board Administration. Documentation on Confluence. Helping new graduate with Confluence Access.</t>
  </si>
  <si>
    <t>Afternoon meeting at 16:00 with mentors Bongani and Clement.  Discussion on Atomic Habits Chapter 1</t>
  </si>
  <si>
    <t>Meetings were held with mentors Bongani and Clement throughout the day. Check-in at 07:49. Jira board administration and Stand-up morning meeting with Clement.</t>
  </si>
  <si>
    <t>Research on blockers on Udemy Power Automate, SharePoint and Power Apps course.</t>
  </si>
  <si>
    <t>Meeting held with Clement and a few graduates to discuss and fix blockers related to the course</t>
  </si>
  <si>
    <t>Jira board administration. Accountability Partner Check-in.</t>
  </si>
  <si>
    <t>Training and Research on PowerApps, SharePoint and Power Automate Course and Presentation on Data Management Preparation. Jira Board Administration. Documentation on Confluence. Helping fellow graduates with course blockers.</t>
  </si>
  <si>
    <t>Lunch break taken at 12:01.</t>
  </si>
  <si>
    <t xml:space="preserve">Progress report meeting with Clement. </t>
  </si>
  <si>
    <t>N.I.N.E.S team meeting to discuss Presentation Progress.</t>
  </si>
  <si>
    <t>Afternoon meeting at 16:00 with mentors Bongani and Clement.  Discussion on PowerApps, SharePoint and Power Automate Course.</t>
  </si>
  <si>
    <t>Accountability partner Meeting. Check-in and progress.</t>
  </si>
  <si>
    <t>Training and Research on PowerApps, SharePoint and Power Automate Course. Documentation on Confluence.</t>
  </si>
  <si>
    <t>BANKSETA Monitoring and Evaluation Meeting</t>
  </si>
  <si>
    <t>Training and Research on PowerApps, SharePoint and Power Automate Course and Presentation on Data Management Preparation. Documentation on Confluence.</t>
  </si>
  <si>
    <t>Check-in meeting with Clement.</t>
  </si>
  <si>
    <t>Training and Research on PowerApps, SharePoint and Power Automate Course and Presentation on Data Management Preparation. Documentation on Confluence. Jira board Management. Helping fellow graduates with blockers.</t>
  </si>
  <si>
    <t>N.I.N.E.S team presentation meeting and preparation.</t>
  </si>
  <si>
    <t>Training and research on Data Management group presentation. Continuation on Udemy Course Content.</t>
  </si>
  <si>
    <t xml:space="preserve">Afternoon meeting at 16:00 with mentors Bongani and Clement.  Discussion on PowerApps, SharePoint and Power Automate Course. Meeting ended at 17:37. </t>
  </si>
  <si>
    <t>One-on-one Session with mentor Clement.</t>
  </si>
  <si>
    <t xml:space="preserve">Training and Research on PowerApps, SharePoint and Power Automate Course. Documentation on Confluence. </t>
  </si>
  <si>
    <t>The Data Application Cycle Presentation with Shaila, Angela, Clement and fellow graduates.</t>
  </si>
  <si>
    <t>Troubleshooting</t>
  </si>
  <si>
    <t>IT support to assist with network, connectivity and MS teams issues.</t>
  </si>
  <si>
    <t>Afternoon meeting at 16:00 with mentors Bongani and Clement.  Discussion on PowerApps, SharePoint and Power Automate Course. N.I.N.E.S team meeting; practice and preparation.</t>
  </si>
  <si>
    <t>Training and Research on PowerApps, SharePoint and Power Automate Course. Documentation on Confluence.  Jira board admin.</t>
  </si>
  <si>
    <t>Training and Research on PowerApps, SharePoint and Power Automate Course. Documentation on Confluence.  Jira board admin. Helping graduates with blockers and asking for help on blockers.</t>
  </si>
  <si>
    <t>Afternoon meeting at 16:00 with mentors Bongani and Clement. Timesheet uploaded before afternoon meeting.</t>
  </si>
  <si>
    <t>Public Holiday</t>
  </si>
  <si>
    <t>Good Friday</t>
  </si>
  <si>
    <t>Family Day</t>
  </si>
  <si>
    <t>Meetings were held with mentors Bongani and Clement throughout the day. Check-in at 07:50. Jira board administration and Stand-up morning meeting with Clement.</t>
  </si>
  <si>
    <t>Research and practical work on PowerApps project. SharePoint, Excel and Power Automate work done in conjunction to the project. Documentation on Confluence and Jira board administration.</t>
  </si>
  <si>
    <t>Research and practical work on PowerApps Project. Documentation on Confluence and Jira board administration.</t>
  </si>
  <si>
    <t>Group Presentation Practice and Preparation.</t>
  </si>
  <si>
    <t>Research on PowerApps Project.</t>
  </si>
  <si>
    <t>Afternoon meeting at 16:00 with mentors Bongani and Clement.  Discussion on PowerApps, Power Automate and SharePoint course</t>
  </si>
  <si>
    <t>Meetings were held with mentors Bongani and Clement throughout the day. Check-in at 07:46. Jira board administration and Stand-up morning meeting with Clement.</t>
  </si>
  <si>
    <t>Group Presentation Practice.</t>
  </si>
  <si>
    <t>PowerApps project research. Training and research on ITILv4 Course.</t>
  </si>
  <si>
    <t>Presenting</t>
  </si>
  <si>
    <t>Data Management Group Presentation with Shaila, Angela and Clement.</t>
  </si>
  <si>
    <t>Lunch break taken at 13:07.</t>
  </si>
  <si>
    <t>Check-in with Clement.</t>
  </si>
  <si>
    <t>PowerApps project research and practical work. Documentation on confluence. Jira board administration.</t>
  </si>
  <si>
    <t xml:space="preserve">Afternoon meeting at 16:00 with mentors Bongani discussion on project and presentation. </t>
  </si>
  <si>
    <t>Lunch break taken 12:14.</t>
  </si>
  <si>
    <t>Afternoon meeting at 16:00 with mentor Bongani. Discussion and Feedback on PowerApps Project.</t>
  </si>
  <si>
    <t>Training and research on ITILv4 Course. Documentation on confluence and Jira board administration.</t>
  </si>
  <si>
    <t>Training and research on ITILv4 pdf Book. Documentation on confluence and Jira board administration.</t>
  </si>
  <si>
    <t>Training and research on ITIL Book (pdf). Documentation on confluence and Jira board administration.</t>
  </si>
  <si>
    <t>Afternoon meeting at 16:00 with mentor Bongani and Clement. Discussion on PowerApps Project and Growth Mindset.</t>
  </si>
  <si>
    <t xml:space="preserve">Freedom Day </t>
  </si>
  <si>
    <t>Freedom Day - OBS</t>
  </si>
  <si>
    <t>Meetings were held with mentors Bongani and Clement throughout the day. Check-in at 07:48. Jira board administration and Stand-up morning meeting with Clement.</t>
  </si>
  <si>
    <t>Progress report meeting with Clement.</t>
  </si>
  <si>
    <t xml:space="preserve">Lunch break taken at 12:03. </t>
  </si>
  <si>
    <t>Afternoon meeting at 16:00 with mentor Bongani and Clement. Discussion on ITIL.</t>
  </si>
  <si>
    <t>Group Meeting Discussion on Presentation Preparation.</t>
  </si>
  <si>
    <t>Afternoon meeting at 16:00 with mentor Bongani and Clement. Discussion on ITIL. Timesheet uploaded before afternoon meeting.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</si>
  <si>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</si>
  <si>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</si>
  <si>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</si>
  <si>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</si>
  <si>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</si>
  <si>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</si>
  <si>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</si>
  <si>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</si>
  <si>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Worker's Day</t>
  </si>
  <si>
    <t>Research and practical work on PowerApps Project. Practical work on PowerApps, Power Automate and SharePoint. Research and work on Data Lifecycle (data management) presentation. Documentation on Confluence. Jira board administration.</t>
  </si>
  <si>
    <t>Research and practical work on PowerApps Project. Practical work on PowerApps, Power Automate and SharePoint. Research and work on Data Lifecycle (data management) presentation. Documentation on Confluence. Jira board administration</t>
  </si>
  <si>
    <t>Data Lifecycle (data management) presentation. Group work discussion.</t>
  </si>
  <si>
    <t>Afternoon meeting at 16:00 with mentor Clement. Timesheet uploaded before afternoon meeting.</t>
  </si>
  <si>
    <t>Training and research on Python: The Professional Guide For Beginners (2025 Edition) Udemy Course, PowerApps Project, Data Management Presentation. Documentation on Confluence and Jira Board Administration.</t>
  </si>
  <si>
    <t>Afternoon meeting at 16:00 with mentors Bongani and Clement. Discussion on ITIL and PowerApps project.</t>
  </si>
  <si>
    <t>Meetings were held with mentors Bongani and Clement throughout the day. Check-in at 07:45. Jira board administration and Stand-up morning meeting with Clement.</t>
  </si>
  <si>
    <t>Graduates Project Email Discussion.</t>
  </si>
  <si>
    <t>Afternoon meeting at 16:00 with mentors Bongani. PowerApps Discussion. One-on-one with Bongani.</t>
  </si>
  <si>
    <t>Training and research on Python: The Professional Guide For Beginners (2025 Edition) Udemy Course, PowerApps Project. Documentation on Confluence and Jira Board Administration.</t>
  </si>
  <si>
    <t>Business Intelligence and Advanced Analytics presentation with Shaila and Angela.</t>
  </si>
  <si>
    <t xml:space="preserve">Afternoon meeting at 16:00 with mentor Bongani. PowerApps Discussion. </t>
  </si>
  <si>
    <t>Progress report meeting with Clement. Jira board administration</t>
  </si>
  <si>
    <t>Training and research on PowerApps Project Documentation on Confluence and Jira Board Administration.</t>
  </si>
  <si>
    <t xml:space="preserve">Afternoon meeting at 16:00 with mentors Bongani and Clement. </t>
  </si>
  <si>
    <t>Training and research on Udemy Microsoft Azure Fundamentals Course. Documentation on Confluence and Jira Board Administration.</t>
  </si>
  <si>
    <t>PowerApps Demo Discussion.</t>
  </si>
  <si>
    <t>Training and research on Udemy Microsoft Azure Fundamentals Course. PowerApps Project Research and Practical Work. Documentation on Confluence and Jira Board Administration.</t>
  </si>
  <si>
    <t>PowerApps Demo Presentation with Shaila, Angela, Bongani and Clement.</t>
  </si>
  <si>
    <t>Afternoon meeting at 16:00 with mentors Bongani and Clement. Discussion on  PowerApps project and Fundamentals of Azure.</t>
  </si>
  <si>
    <t>Meetings were held with mentors Bongani and Clement throughout the day. Check-in at 07:47. Jira board administration and Stand-up morning meeting with Clement.</t>
  </si>
  <si>
    <t>Afternoon meeting at 16:00 with mentors Bongani and Clement. Discussion on Udemy Microsoft Azure Course.</t>
  </si>
  <si>
    <t>Meeting with fellow graduate to assist with blocker and check-in.</t>
  </si>
  <si>
    <t>Progress report check in.</t>
  </si>
  <si>
    <t>Progress Report meeting with Clement.</t>
  </si>
  <si>
    <t>Progress Report Meeting with Clement.</t>
  </si>
  <si>
    <t>Afternoon meeting at 16:00 with mentors Bongani and Clement.  Timesheet uploaded before afternoon meeting.</t>
  </si>
  <si>
    <t>Training and research on Udemy T-SQL Course. Documentation on Confluence and Jira Board Administration.</t>
  </si>
  <si>
    <t>Progress Report Check in.</t>
  </si>
  <si>
    <t>Afternoon meeting at 16:00 with mentors Bongani and Clement. Discussion on Microsoft Azure.</t>
  </si>
  <si>
    <t>Afternoon meeting at 16:00 with mentors Bongani. Discussion on Microsoft Azure.</t>
  </si>
  <si>
    <t>Training and research on Udemy SSIS Introduction Course. Documentation on Confluence and Jira Board Administration.</t>
  </si>
  <si>
    <t xml:space="preserve">Lunch break taken 12:03. </t>
  </si>
  <si>
    <t>Training and research on Udemy SSIS Part 1 Course. Documentation on Confluence and Jira Board Administration.</t>
  </si>
  <si>
    <t>Afternoon meeting at 16:00 with mentors Bongani and Clement.  Group Session with Bongani and Clement</t>
  </si>
  <si>
    <t xml:space="preserve">Lunch break taken 12:02. </t>
  </si>
  <si>
    <t>Afternoon meeting at 16:00 with mentors Bongani and Clement.  Discussion on TSQL and SSIS course.</t>
  </si>
  <si>
    <t>Afternoon meeting at 16:00 with mentors Bongani and Clement.  Discussion on TSQL Course.</t>
  </si>
  <si>
    <t>Afternoon meeting at 16:00 with mentors Bongani.  Discussion on TSQL Course.</t>
  </si>
  <si>
    <t>Research on Udemy SSIS Part 1 Course Concepts. Documentation on Confluence and Jira Board Administration. Research on AI.</t>
  </si>
  <si>
    <t xml:space="preserve">Research on Udemy SSIS Part 1 Course. Research on AI. Documentation on Confluence and Jira Board Administration. </t>
  </si>
  <si>
    <t>Afternoon meeting at 16:00 with mentors Bongani and Clement. Discussion on AI. Timesheet uploaded before afternoon meeting.</t>
  </si>
  <si>
    <t>Example</t>
  </si>
  <si>
    <t>.NET code</t>
  </si>
  <si>
    <t>Billable</t>
  </si>
  <si>
    <t>Detailed Description of task(s) done</t>
  </si>
  <si>
    <t>Youth Day</t>
  </si>
  <si>
    <t>National Women's Day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</si>
  <si>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</si>
  <si>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</si>
  <si>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</si>
  <si>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</si>
  <si>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</si>
  <si>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</si>
  <si>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</si>
  <si>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</si>
  <si>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</si>
  <si>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</si>
  <si>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</si>
  <si>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</si>
  <si>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</si>
  <si>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</si>
  <si>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</si>
  <si>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</si>
  <si>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</si>
  <si>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</si>
  <si>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</si>
  <si>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</si>
  <si>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</si>
  <si>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</si>
  <si>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</si>
  <si>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</si>
  <si>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</si>
  <si>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</si>
  <si>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</si>
  <si>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</si>
  <si>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</si>
  <si>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</si>
  <si>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Albert</t>
  </si>
  <si>
    <t>AFA Sasfin</t>
  </si>
  <si>
    <t>Placing Cvs in Templates</t>
  </si>
  <si>
    <t>Admin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</si>
  <si>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</si>
  <si>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</si>
  <si>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</si>
  <si>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</si>
  <si>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</si>
  <si>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</si>
  <si>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</si>
  <si>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</si>
  <si>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</si>
  <si>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</si>
  <si>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</si>
  <si>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</si>
  <si>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</si>
  <si>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</si>
  <si>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</si>
  <si>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</si>
  <si>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</si>
  <si>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</si>
  <si>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</si>
  <si>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</si>
  <si>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</si>
  <si>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</si>
  <si>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</si>
  <si>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</si>
  <si>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</si>
  <si>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</si>
  <si>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</si>
  <si>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</si>
  <si>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</si>
  <si>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</si>
  <si>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</si>
  <si>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</si>
  <si>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</si>
  <si>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</si>
  <si>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</si>
  <si>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Design</t>
  </si>
  <si>
    <t>Charles</t>
  </si>
  <si>
    <t>Conekt – Internal Meeting</t>
  </si>
  <si>
    <t>Documentation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</si>
  <si>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</si>
  <si>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</si>
  <si>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</si>
  <si>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</si>
  <si>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</si>
  <si>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</si>
  <si>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</si>
  <si>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</si>
  <si>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</si>
  <si>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</si>
  <si>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</si>
  <si>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</si>
  <si>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</si>
  <si>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</si>
  <si>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</si>
  <si>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</si>
  <si>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Elize</t>
  </si>
  <si>
    <t>Discovery People</t>
  </si>
  <si>
    <t>Other</t>
  </si>
  <si>
    <t>Engelina</t>
  </si>
  <si>
    <t xml:space="preserve">Discovery Skills </t>
  </si>
  <si>
    <t>Ernest</t>
  </si>
  <si>
    <t>Discovery Vitality</t>
  </si>
  <si>
    <t>Project Management</t>
  </si>
  <si>
    <t>Eugene</t>
  </si>
  <si>
    <t>Gyro</t>
  </si>
  <si>
    <t>Evashan</t>
  </si>
  <si>
    <t>Healthforce</t>
  </si>
  <si>
    <t>Sales call</t>
  </si>
  <si>
    <t>KFC Digistics</t>
  </si>
  <si>
    <t>SharePoint</t>
  </si>
  <si>
    <t>Fayruz</t>
  </si>
  <si>
    <t>Medi-Charge</t>
  </si>
  <si>
    <t>Hamerl</t>
  </si>
  <si>
    <t>MICA Build</t>
  </si>
  <si>
    <t>Travel</t>
  </si>
  <si>
    <t>Ian</t>
  </si>
  <si>
    <t>Michelin</t>
  </si>
  <si>
    <t>Itumeleng</t>
  </si>
  <si>
    <t>Mistro Foods</t>
  </si>
  <si>
    <t>Waiting on client</t>
  </si>
  <si>
    <t>Iviwe</t>
  </si>
  <si>
    <t>OK Furnitures</t>
  </si>
  <si>
    <t>Website content</t>
  </si>
  <si>
    <t>Joseph</t>
  </si>
  <si>
    <t>Olympic Paints</t>
  </si>
  <si>
    <t>Website and collateral</t>
  </si>
  <si>
    <t>Juan</t>
  </si>
  <si>
    <t>RMB CM Data Warehouse support</t>
  </si>
  <si>
    <t>Annual Leave</t>
  </si>
  <si>
    <t>Jubhele</t>
  </si>
  <si>
    <t>RMB CORE NRTI</t>
  </si>
  <si>
    <t>Sick leave</t>
  </si>
  <si>
    <t>Kanelo</t>
  </si>
  <si>
    <t>RMB Liesha</t>
  </si>
  <si>
    <t>Study Leave</t>
  </si>
  <si>
    <t>Karabo</t>
  </si>
  <si>
    <t>RMB Tumelo</t>
  </si>
  <si>
    <t>Family Responsibility Leave</t>
  </si>
  <si>
    <t>Karusha</t>
  </si>
  <si>
    <t>Sachar Mobile</t>
  </si>
  <si>
    <t>Birthday leave</t>
  </si>
  <si>
    <t>Kavish</t>
  </si>
  <si>
    <t>SBV</t>
  </si>
  <si>
    <t>Keown</t>
  </si>
  <si>
    <t>Sibanya</t>
  </si>
  <si>
    <t>Sick Leave - half day</t>
  </si>
  <si>
    <t>Kiaan</t>
  </si>
  <si>
    <t>Transport Holdings</t>
  </si>
  <si>
    <t>Lazarus</t>
  </si>
  <si>
    <t>Lehlohonolo</t>
  </si>
  <si>
    <t xml:space="preserve">Lucky </t>
  </si>
  <si>
    <t xml:space="preserve">Mamello </t>
  </si>
  <si>
    <t>Muzuvukile</t>
  </si>
  <si>
    <t>Nagendra</t>
  </si>
  <si>
    <t xml:space="preserve">Ndivhudzannyi </t>
  </si>
  <si>
    <t>Neo</t>
  </si>
  <si>
    <t>Ongeziwe</t>
  </si>
  <si>
    <t xml:space="preserve">Paballo 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</si>
  <si>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</si>
  <si>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</si>
  <si>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</si>
  <si>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</si>
  <si>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</si>
  <si>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</si>
  <si>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</si>
  <si>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</si>
  <si>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</si>
  <si>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</si>
  <si>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</si>
  <si>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</si>
  <si>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Tatenda</t>
  </si>
  <si>
    <t>Tendo</t>
  </si>
  <si>
    <t>Thabang</t>
  </si>
  <si>
    <t>Timothy</t>
  </si>
  <si>
    <t>Tutu</t>
  </si>
  <si>
    <t>Tyson</t>
  </si>
  <si>
    <t>Vincent</t>
  </si>
  <si>
    <t>Yazeed</t>
  </si>
  <si>
    <t xml:space="preserve">Yugeshin </t>
  </si>
  <si>
    <t>Zola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</si>
</sst>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8" borderId="0" xfId="0" applyFont="1" applyFill="1" applyProtection="1">
      <protection locked="0"/>
    </xf>
    <xf numFmtId="0" fontId="15" fillId="9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2" borderId="45" xfId="0" applyFont="1" applyFill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20" fontId="4" fillId="0" borderId="6" xfId="0" applyNumberFormat="1" applyFont="1" applyBorder="1"/>
    <xf numFmtId="0" fontId="17" fillId="0" borderId="46" xfId="0" applyFont="1" applyBorder="1"/>
    <xf numFmtId="20" fontId="4" fillId="0" borderId="0" xfId="0" applyNumberFormat="1" applyFont="1"/>
    <xf numFmtId="20" fontId="4" fillId="0" borderId="6" xfId="0" applyNumberFormat="1" applyFont="1" applyBorder="1" applyAlignment="1">
      <alignment wrapText="1"/>
    </xf>
    <xf numFmtId="165" fontId="4" fillId="0" borderId="0" xfId="0" applyNumberFormat="1" applyFont="1" applyAlignment="1">
      <alignment wrapText="1"/>
    </xf>
    <xf numFmtId="0" fontId="4" fillId="0" borderId="46" xfId="0" applyFont="1" applyBorder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3" totalsRowShown="0" headerRowDxfId="102" dataDxfId="101">
  <autoFilter ref="H2:H73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39" totalsRowShown="0" headerRowDxfId="99" dataDxfId="98" tableBorderDxfId="97">
  <autoFilter ref="F2:F39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M214"/>
  <sheetViews>
    <sheetView topLeftCell="A186" zoomScale="75" zoomScaleNormal="75" workbookViewId="0">
      <selection activeCell="G190" sqref="G19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73" t="str">
        <f>F200</f>
        <v>Non-Billable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75.599999999999994" x14ac:dyDescent="0.2">
      <c r="A9" s="22">
        <v>45748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:H43" si="0">J9-I9</f>
        <v>1.4583333333333337E-2</v>
      </c>
      <c r="I9" s="30">
        <v>0.3263888888888889</v>
      </c>
      <c r="J9" s="30">
        <v>0.34097222222222223</v>
      </c>
    </row>
    <row r="10" spans="1:10" ht="63" x14ac:dyDescent="0.2">
      <c r="A10" s="22">
        <v>45748</v>
      </c>
      <c r="B10" s="22" t="s">
        <v>13</v>
      </c>
      <c r="C10" s="27" t="s">
        <v>14</v>
      </c>
      <c r="D10" s="27" t="s">
        <v>15</v>
      </c>
      <c r="E10" s="27" t="s">
        <v>19</v>
      </c>
      <c r="F10" s="27" t="s">
        <v>17</v>
      </c>
      <c r="G10" s="28" t="s">
        <v>20</v>
      </c>
      <c r="H10" s="29">
        <f t="shared" si="0"/>
        <v>2.3611111111111083E-2</v>
      </c>
      <c r="I10" s="30">
        <v>0.34097222222222223</v>
      </c>
      <c r="J10" s="30">
        <v>0.36458333333333331</v>
      </c>
    </row>
    <row r="11" spans="1:10" ht="37.799999999999997" x14ac:dyDescent="0.2">
      <c r="A11" s="22">
        <v>45748</v>
      </c>
      <c r="B11" s="22" t="s">
        <v>13</v>
      </c>
      <c r="C11" s="27" t="s">
        <v>14</v>
      </c>
      <c r="D11" s="27" t="s">
        <v>15</v>
      </c>
      <c r="E11" s="27" t="s">
        <v>16</v>
      </c>
      <c r="F11" s="27" t="s">
        <v>17</v>
      </c>
      <c r="G11" s="28" t="s">
        <v>21</v>
      </c>
      <c r="H11" s="29">
        <f t="shared" si="0"/>
        <v>1.0416666666666685E-2</v>
      </c>
      <c r="I11" s="30">
        <v>0.36458333333333331</v>
      </c>
      <c r="J11" s="30">
        <v>0.375</v>
      </c>
    </row>
    <row r="12" spans="1:10" ht="25.2" x14ac:dyDescent="0.2">
      <c r="A12" s="22">
        <v>45748</v>
      </c>
      <c r="B12" s="22" t="s">
        <v>13</v>
      </c>
      <c r="C12" s="27" t="s">
        <v>14</v>
      </c>
      <c r="D12" s="27" t="s">
        <v>15</v>
      </c>
      <c r="E12" s="27" t="s">
        <v>16</v>
      </c>
      <c r="F12" s="27" t="s">
        <v>17</v>
      </c>
      <c r="G12" s="28" t="s">
        <v>22</v>
      </c>
      <c r="H12" s="29">
        <f t="shared" si="0"/>
        <v>2.5000000000000022E-2</v>
      </c>
      <c r="I12" s="30">
        <v>0.375</v>
      </c>
      <c r="J12" s="30">
        <v>0.4</v>
      </c>
    </row>
    <row r="13" spans="1:10" ht="63" x14ac:dyDescent="0.2">
      <c r="A13" s="22">
        <v>45748</v>
      </c>
      <c r="B13" s="22" t="s">
        <v>13</v>
      </c>
      <c r="C13" s="27" t="s">
        <v>14</v>
      </c>
      <c r="D13" s="27" t="s">
        <v>15</v>
      </c>
      <c r="E13" s="27" t="s">
        <v>19</v>
      </c>
      <c r="F13" s="27" t="s">
        <v>17</v>
      </c>
      <c r="G13" s="28" t="s">
        <v>23</v>
      </c>
      <c r="H13" s="29">
        <f t="shared" si="0"/>
        <v>5.8333333333333293E-2</v>
      </c>
      <c r="I13" s="30">
        <v>0.4</v>
      </c>
      <c r="J13" s="30">
        <v>0.45833333333333331</v>
      </c>
    </row>
    <row r="14" spans="1:10" ht="37.799999999999997" x14ac:dyDescent="0.2">
      <c r="A14" s="22">
        <v>45748</v>
      </c>
      <c r="B14" s="22" t="s">
        <v>13</v>
      </c>
      <c r="C14" s="27" t="s">
        <v>14</v>
      </c>
      <c r="D14" s="27" t="s">
        <v>15</v>
      </c>
      <c r="E14" s="27" t="s">
        <v>16</v>
      </c>
      <c r="F14" s="27" t="s">
        <v>17</v>
      </c>
      <c r="G14" s="28" t="s">
        <v>24</v>
      </c>
      <c r="H14" s="29">
        <f t="shared" si="0"/>
        <v>4.5138888888888895E-2</v>
      </c>
      <c r="I14" s="30">
        <v>0.45833333333333331</v>
      </c>
      <c r="J14" s="30">
        <v>0.50347222222222221</v>
      </c>
    </row>
    <row r="15" spans="1:10" x14ac:dyDescent="0.2">
      <c r="A15" s="22">
        <v>45748</v>
      </c>
      <c r="B15" s="22" t="s">
        <v>13</v>
      </c>
      <c r="C15" s="27" t="s">
        <v>14</v>
      </c>
      <c r="D15" s="27" t="s">
        <v>15</v>
      </c>
      <c r="E15" s="27" t="s">
        <v>25</v>
      </c>
      <c r="F15" s="27" t="s">
        <v>17</v>
      </c>
      <c r="G15" s="28" t="s">
        <v>26</v>
      </c>
      <c r="H15" s="29">
        <f t="shared" si="0"/>
        <v>4.166666666666663E-2</v>
      </c>
      <c r="I15" s="30">
        <v>0.50347222222222221</v>
      </c>
      <c r="J15" s="30">
        <v>0.54513888888888884</v>
      </c>
    </row>
    <row r="16" spans="1:10" ht="50.4" x14ac:dyDescent="0.2">
      <c r="A16" s="22">
        <v>45748</v>
      </c>
      <c r="B16" s="22" t="s">
        <v>13</v>
      </c>
      <c r="C16" s="27" t="s">
        <v>14</v>
      </c>
      <c r="D16" s="27" t="s">
        <v>15</v>
      </c>
      <c r="E16" s="27" t="s">
        <v>16</v>
      </c>
      <c r="F16" s="27" t="s">
        <v>17</v>
      </c>
      <c r="G16" s="28" t="s">
        <v>27</v>
      </c>
      <c r="H16" s="29">
        <f t="shared" si="0"/>
        <v>1.4583333333333393E-2</v>
      </c>
      <c r="I16" s="30">
        <v>0.54513888888888884</v>
      </c>
      <c r="J16" s="30">
        <v>0.55972222222222223</v>
      </c>
    </row>
    <row r="17" spans="1:12" ht="63" x14ac:dyDescent="0.2">
      <c r="A17" s="22">
        <v>45748</v>
      </c>
      <c r="B17" s="22" t="s">
        <v>13</v>
      </c>
      <c r="C17" s="27" t="s">
        <v>14</v>
      </c>
      <c r="D17" s="27" t="s">
        <v>15</v>
      </c>
      <c r="E17" s="27" t="s">
        <v>19</v>
      </c>
      <c r="F17" s="27" t="s">
        <v>17</v>
      </c>
      <c r="G17" s="28" t="s">
        <v>28</v>
      </c>
      <c r="H17" s="29">
        <f t="shared" si="0"/>
        <v>0.1069444444444444</v>
      </c>
      <c r="I17" s="30">
        <v>0.55972222222222223</v>
      </c>
      <c r="J17" s="30">
        <v>0.66666666666666663</v>
      </c>
    </row>
    <row r="18" spans="1:12" ht="50.4" x14ac:dyDescent="0.2">
      <c r="A18" s="22">
        <v>45748</v>
      </c>
      <c r="B18" s="22" t="s">
        <v>13</v>
      </c>
      <c r="C18" s="27" t="s">
        <v>14</v>
      </c>
      <c r="D18" s="27" t="s">
        <v>15</v>
      </c>
      <c r="E18" s="27" t="s">
        <v>16</v>
      </c>
      <c r="F18" s="27" t="s">
        <v>17</v>
      </c>
      <c r="G18" s="28" t="s">
        <v>29</v>
      </c>
      <c r="H18" s="29">
        <f t="shared" si="0"/>
        <v>6.597222222222221E-2</v>
      </c>
      <c r="I18" s="30">
        <v>0.66666666666666663</v>
      </c>
      <c r="J18" s="30">
        <v>0.73263888888888884</v>
      </c>
      <c r="K18" s="66"/>
    </row>
    <row r="19" spans="1:12" ht="88.2" x14ac:dyDescent="0.2">
      <c r="A19" s="22">
        <v>45749</v>
      </c>
      <c r="B19" s="22" t="s">
        <v>30</v>
      </c>
      <c r="C19" s="27" t="s">
        <v>14</v>
      </c>
      <c r="D19" s="27" t="s">
        <v>15</v>
      </c>
      <c r="E19" s="27" t="s">
        <v>16</v>
      </c>
      <c r="F19" s="27" t="s">
        <v>17</v>
      </c>
      <c r="G19" s="28" t="s">
        <v>31</v>
      </c>
      <c r="H19" s="29">
        <f t="shared" si="0"/>
        <v>1.7361111111111105E-2</v>
      </c>
      <c r="I19" s="30">
        <v>0.3263888888888889</v>
      </c>
      <c r="J19" s="30">
        <v>0.34375</v>
      </c>
    </row>
    <row r="20" spans="1:12" ht="88.2" x14ac:dyDescent="0.2">
      <c r="A20" s="22">
        <v>45749</v>
      </c>
      <c r="B20" s="22" t="s">
        <v>30</v>
      </c>
      <c r="C20" s="27" t="s">
        <v>14</v>
      </c>
      <c r="D20" s="27" t="s">
        <v>15</v>
      </c>
      <c r="E20" s="27" t="s">
        <v>19</v>
      </c>
      <c r="F20" s="27" t="s">
        <v>17</v>
      </c>
      <c r="G20" s="28" t="s">
        <v>32</v>
      </c>
      <c r="H20" s="29">
        <f t="shared" si="0"/>
        <v>7.2916666666666685E-2</v>
      </c>
      <c r="I20" s="30">
        <v>0.34375</v>
      </c>
      <c r="J20" s="30">
        <v>0.41666666666666669</v>
      </c>
    </row>
    <row r="21" spans="1:12" ht="25.2" x14ac:dyDescent="0.2">
      <c r="A21" s="22">
        <v>45749</v>
      </c>
      <c r="B21" s="22" t="s">
        <v>30</v>
      </c>
      <c r="C21" s="27" t="s">
        <v>14</v>
      </c>
      <c r="D21" s="27" t="s">
        <v>15</v>
      </c>
      <c r="E21" s="27" t="s">
        <v>16</v>
      </c>
      <c r="F21" s="27" t="s">
        <v>17</v>
      </c>
      <c r="G21" s="28" t="s">
        <v>33</v>
      </c>
      <c r="H21" s="29">
        <f t="shared" si="0"/>
        <v>4.8611111111110938E-3</v>
      </c>
      <c r="I21" s="30">
        <v>0.41666666666666669</v>
      </c>
      <c r="J21" s="30">
        <v>0.42152777777777778</v>
      </c>
    </row>
    <row r="22" spans="1:12" ht="37.799999999999997" x14ac:dyDescent="0.2">
      <c r="A22" s="22">
        <v>45749</v>
      </c>
      <c r="B22" s="22" t="s">
        <v>30</v>
      </c>
      <c r="C22" s="27" t="s">
        <v>14</v>
      </c>
      <c r="D22" s="27" t="s">
        <v>15</v>
      </c>
      <c r="E22" s="27" t="s">
        <v>19</v>
      </c>
      <c r="F22" s="27" t="s">
        <v>17</v>
      </c>
      <c r="G22" s="28" t="s">
        <v>34</v>
      </c>
      <c r="H22" s="29">
        <f t="shared" si="0"/>
        <v>3.6805555555555536E-2</v>
      </c>
      <c r="I22" s="30">
        <v>0.42152777777777778</v>
      </c>
      <c r="J22" s="30">
        <v>0.45833333333333331</v>
      </c>
    </row>
    <row r="23" spans="1:12" ht="37.799999999999997" x14ac:dyDescent="0.2">
      <c r="A23" s="22">
        <v>45749</v>
      </c>
      <c r="B23" s="22" t="s">
        <v>30</v>
      </c>
      <c r="C23" s="27" t="s">
        <v>14</v>
      </c>
      <c r="D23" s="27" t="s">
        <v>15</v>
      </c>
      <c r="E23" s="27" t="s">
        <v>16</v>
      </c>
      <c r="F23" s="27" t="s">
        <v>17</v>
      </c>
      <c r="G23" s="28" t="s">
        <v>35</v>
      </c>
      <c r="H23" s="29">
        <f t="shared" si="0"/>
        <v>3.0555555555555558E-2</v>
      </c>
      <c r="I23" s="30">
        <v>0.45833333333333331</v>
      </c>
      <c r="J23" s="30">
        <v>0.48888888888888887</v>
      </c>
    </row>
    <row r="24" spans="1:12" ht="50.4" x14ac:dyDescent="0.2">
      <c r="A24" s="22">
        <v>45749</v>
      </c>
      <c r="B24" s="22" t="s">
        <v>30</v>
      </c>
      <c r="C24" s="27" t="s">
        <v>14</v>
      </c>
      <c r="D24" s="27" t="s">
        <v>15</v>
      </c>
      <c r="E24" s="27" t="s">
        <v>36</v>
      </c>
      <c r="F24" s="27" t="s">
        <v>17</v>
      </c>
      <c r="G24" s="28" t="s">
        <v>37</v>
      </c>
      <c r="H24" s="29">
        <f t="shared" si="0"/>
        <v>1.3194444444444453E-2</v>
      </c>
      <c r="I24" s="30">
        <v>0.48888888888888887</v>
      </c>
      <c r="J24" s="30">
        <v>0.50208333333333333</v>
      </c>
    </row>
    <row r="25" spans="1:12" x14ac:dyDescent="0.2">
      <c r="A25" s="22">
        <v>45749</v>
      </c>
      <c r="B25" s="22" t="s">
        <v>30</v>
      </c>
      <c r="C25" s="27" t="s">
        <v>14</v>
      </c>
      <c r="D25" s="27" t="s">
        <v>15</v>
      </c>
      <c r="E25" s="27" t="s">
        <v>25</v>
      </c>
      <c r="F25" s="27" t="s">
        <v>17</v>
      </c>
      <c r="G25" s="28" t="s">
        <v>38</v>
      </c>
      <c r="H25" s="29">
        <f t="shared" si="0"/>
        <v>4.166666666666663E-2</v>
      </c>
      <c r="I25" s="30">
        <v>0.50208333333333333</v>
      </c>
      <c r="J25" s="30">
        <v>0.54374999999999996</v>
      </c>
    </row>
    <row r="26" spans="1:12" ht="63" x14ac:dyDescent="0.2">
      <c r="A26" s="22">
        <v>45749</v>
      </c>
      <c r="B26" s="22" t="s">
        <v>30</v>
      </c>
      <c r="C26" s="27" t="s">
        <v>14</v>
      </c>
      <c r="D26" s="27" t="s">
        <v>15</v>
      </c>
      <c r="E26" s="27" t="s">
        <v>36</v>
      </c>
      <c r="F26" s="27" t="s">
        <v>17</v>
      </c>
      <c r="G26" s="28" t="s">
        <v>39</v>
      </c>
      <c r="H26" s="29">
        <f t="shared" si="0"/>
        <v>0.12291666666666667</v>
      </c>
      <c r="I26" s="30">
        <v>0.54374999999999996</v>
      </c>
      <c r="J26" s="30">
        <v>0.66666666666666663</v>
      </c>
    </row>
    <row r="27" spans="1:12" ht="50.4" x14ac:dyDescent="0.2">
      <c r="A27" s="22">
        <v>45749</v>
      </c>
      <c r="B27" s="22" t="s">
        <v>30</v>
      </c>
      <c r="C27" s="27" t="s">
        <v>14</v>
      </c>
      <c r="D27" s="27" t="s">
        <v>15</v>
      </c>
      <c r="E27" s="27" t="s">
        <v>16</v>
      </c>
      <c r="F27" s="27" t="s">
        <v>17</v>
      </c>
      <c r="G27" s="28" t="s">
        <v>40</v>
      </c>
      <c r="H27" s="29">
        <f t="shared" si="0"/>
        <v>5.0694444444444486E-2</v>
      </c>
      <c r="I27" s="30">
        <v>0.66666666666666663</v>
      </c>
      <c r="J27" s="30">
        <v>0.71736111111111112</v>
      </c>
      <c r="L27" s="66"/>
    </row>
    <row r="28" spans="1:12" ht="63" x14ac:dyDescent="0.2">
      <c r="A28" s="22">
        <v>45750</v>
      </c>
      <c r="B28" s="22" t="s">
        <v>41</v>
      </c>
      <c r="C28" s="27" t="s">
        <v>14</v>
      </c>
      <c r="D28" s="27" t="s">
        <v>15</v>
      </c>
      <c r="E28" s="27" t="s">
        <v>16</v>
      </c>
      <c r="F28" s="27" t="s">
        <v>17</v>
      </c>
      <c r="G28" s="28" t="s">
        <v>42</v>
      </c>
      <c r="H28" s="29">
        <f t="shared" si="0"/>
        <v>9.0277777777777457E-3</v>
      </c>
      <c r="I28" s="30">
        <v>0.3263888888888889</v>
      </c>
      <c r="J28" s="30">
        <v>0.33541666666666664</v>
      </c>
    </row>
    <row r="29" spans="1:12" ht="75.599999999999994" x14ac:dyDescent="0.2">
      <c r="A29" s="22">
        <v>45750</v>
      </c>
      <c r="B29" s="22" t="s">
        <v>41</v>
      </c>
      <c r="C29" s="27" t="s">
        <v>14</v>
      </c>
      <c r="D29" s="27" t="s">
        <v>15</v>
      </c>
      <c r="E29" s="27" t="s">
        <v>19</v>
      </c>
      <c r="F29" s="27" t="s">
        <v>17</v>
      </c>
      <c r="G29" s="28" t="s">
        <v>43</v>
      </c>
      <c r="H29" s="29">
        <f t="shared" si="0"/>
        <v>4.6527777777777779E-2</v>
      </c>
      <c r="I29" s="30">
        <v>0.33541666666666664</v>
      </c>
      <c r="J29" s="30">
        <v>0.38194444444444442</v>
      </c>
    </row>
    <row r="30" spans="1:12" ht="50.4" x14ac:dyDescent="0.2">
      <c r="A30" s="22">
        <v>45750</v>
      </c>
      <c r="B30" s="22" t="s">
        <v>41</v>
      </c>
      <c r="C30" s="27" t="s">
        <v>14</v>
      </c>
      <c r="D30" s="27" t="s">
        <v>15</v>
      </c>
      <c r="E30" s="27" t="s">
        <v>16</v>
      </c>
      <c r="F30" s="27" t="s">
        <v>17</v>
      </c>
      <c r="G30" s="28" t="s">
        <v>44</v>
      </c>
      <c r="H30" s="29">
        <f t="shared" si="0"/>
        <v>3.3333333333333326E-2</v>
      </c>
      <c r="I30" s="30">
        <v>0.38541666666666669</v>
      </c>
      <c r="J30" s="30">
        <v>0.41875000000000001</v>
      </c>
    </row>
    <row r="31" spans="1:12" ht="37.799999999999997" x14ac:dyDescent="0.2">
      <c r="A31" s="22">
        <v>45750</v>
      </c>
      <c r="B31" s="22" t="s">
        <v>41</v>
      </c>
      <c r="C31" s="27" t="s">
        <v>14</v>
      </c>
      <c r="D31" s="27" t="s">
        <v>15</v>
      </c>
      <c r="E31" s="27" t="s">
        <v>45</v>
      </c>
      <c r="F31" s="27" t="s">
        <v>17</v>
      </c>
      <c r="G31" s="28" t="s">
        <v>46</v>
      </c>
      <c r="H31" s="29">
        <f t="shared" si="0"/>
        <v>3.9583333333333304E-2</v>
      </c>
      <c r="I31" s="30">
        <v>0.41875000000000001</v>
      </c>
      <c r="J31" s="30">
        <v>0.45833333333333331</v>
      </c>
    </row>
    <row r="32" spans="1:12" ht="37.799999999999997" x14ac:dyDescent="0.2">
      <c r="A32" s="22">
        <v>45750</v>
      </c>
      <c r="B32" s="22" t="s">
        <v>41</v>
      </c>
      <c r="C32" s="27" t="s">
        <v>14</v>
      </c>
      <c r="D32" s="27" t="s">
        <v>15</v>
      </c>
      <c r="E32" s="27" t="s">
        <v>16</v>
      </c>
      <c r="F32" s="27" t="s">
        <v>17</v>
      </c>
      <c r="G32" s="28" t="s">
        <v>35</v>
      </c>
      <c r="H32" s="29">
        <f t="shared" si="0"/>
        <v>4.7222222222222221E-2</v>
      </c>
      <c r="I32" s="30">
        <v>0.45833333333333331</v>
      </c>
      <c r="J32" s="30">
        <v>0.50555555555555554</v>
      </c>
    </row>
    <row r="33" spans="1:12" x14ac:dyDescent="0.2">
      <c r="A33" s="22">
        <v>45750</v>
      </c>
      <c r="B33" s="22" t="s">
        <v>41</v>
      </c>
      <c r="C33" s="27" t="s">
        <v>14</v>
      </c>
      <c r="D33" s="27" t="s">
        <v>15</v>
      </c>
      <c r="E33" s="27" t="s">
        <v>25</v>
      </c>
      <c r="F33" s="27" t="s">
        <v>17</v>
      </c>
      <c r="G33" s="28" t="s">
        <v>47</v>
      </c>
      <c r="H33" s="29">
        <f t="shared" si="0"/>
        <v>4.1666666666666741E-2</v>
      </c>
      <c r="I33" s="30">
        <v>0.50555555555555554</v>
      </c>
      <c r="J33" s="30">
        <v>0.54722222222222228</v>
      </c>
    </row>
    <row r="34" spans="1:12" ht="50.4" x14ac:dyDescent="0.2">
      <c r="A34" s="22">
        <v>45750</v>
      </c>
      <c r="B34" s="22" t="s">
        <v>41</v>
      </c>
      <c r="C34" s="27" t="s">
        <v>14</v>
      </c>
      <c r="D34" s="27" t="s">
        <v>15</v>
      </c>
      <c r="E34" s="27" t="s">
        <v>36</v>
      </c>
      <c r="F34" s="27" t="s">
        <v>17</v>
      </c>
      <c r="G34" s="28" t="s">
        <v>48</v>
      </c>
      <c r="H34" s="29">
        <f t="shared" si="0"/>
        <v>0.11944444444444435</v>
      </c>
      <c r="I34" s="30">
        <v>0.54722222222222228</v>
      </c>
      <c r="J34" s="30">
        <v>0.66666666666666663</v>
      </c>
    </row>
    <row r="35" spans="1:12" ht="50.4" x14ac:dyDescent="0.2">
      <c r="A35" s="22">
        <v>45750</v>
      </c>
      <c r="B35" s="22" t="s">
        <v>41</v>
      </c>
      <c r="C35" s="27" t="s">
        <v>14</v>
      </c>
      <c r="D35" s="27" t="s">
        <v>15</v>
      </c>
      <c r="E35" s="27" t="s">
        <v>16</v>
      </c>
      <c r="F35" s="27" t="s">
        <v>17</v>
      </c>
      <c r="G35" s="28" t="s">
        <v>49</v>
      </c>
      <c r="H35" s="29">
        <f t="shared" si="0"/>
        <v>5.2777777777777812E-2</v>
      </c>
      <c r="I35" s="30">
        <v>0.66666666666666663</v>
      </c>
      <c r="J35" s="30">
        <v>0.71944444444444444</v>
      </c>
    </row>
    <row r="36" spans="1:12" ht="63" x14ac:dyDescent="0.2">
      <c r="A36" s="22">
        <v>45751</v>
      </c>
      <c r="B36" s="22" t="s">
        <v>50</v>
      </c>
      <c r="C36" s="27" t="s">
        <v>14</v>
      </c>
      <c r="D36" s="27" t="s">
        <v>15</v>
      </c>
      <c r="E36" s="27" t="s">
        <v>16</v>
      </c>
      <c r="F36" s="27" t="s">
        <v>17</v>
      </c>
      <c r="G36" s="28" t="s">
        <v>42</v>
      </c>
      <c r="H36" s="29">
        <f t="shared" si="0"/>
        <v>9.0277777777777457E-3</v>
      </c>
      <c r="I36" s="30">
        <v>0.3263888888888889</v>
      </c>
      <c r="J36" s="30">
        <v>0.33541666666666664</v>
      </c>
    </row>
    <row r="37" spans="1:12" ht="63" x14ac:dyDescent="0.2">
      <c r="A37" s="22">
        <v>45751</v>
      </c>
      <c r="B37" s="22" t="s">
        <v>50</v>
      </c>
      <c r="C37" s="27" t="s">
        <v>14</v>
      </c>
      <c r="D37" s="27" t="s">
        <v>15</v>
      </c>
      <c r="E37" s="27" t="s">
        <v>19</v>
      </c>
      <c r="F37" s="27" t="s">
        <v>17</v>
      </c>
      <c r="G37" s="28" t="s">
        <v>51</v>
      </c>
      <c r="H37" s="29">
        <f t="shared" si="0"/>
        <v>6.0416666666666674E-2</v>
      </c>
      <c r="I37" s="118">
        <v>0.33541666666666664</v>
      </c>
      <c r="J37" s="118">
        <v>0.39583333333333331</v>
      </c>
    </row>
    <row r="38" spans="1:12" ht="37.799999999999997" x14ac:dyDescent="0.2">
      <c r="A38" s="22">
        <v>45751</v>
      </c>
      <c r="B38" s="22" t="s">
        <v>50</v>
      </c>
      <c r="C38" s="27" t="s">
        <v>14</v>
      </c>
      <c r="D38" s="27" t="s">
        <v>15</v>
      </c>
      <c r="E38" s="27" t="s">
        <v>16</v>
      </c>
      <c r="F38" s="27" t="s">
        <v>17</v>
      </c>
      <c r="G38" s="28" t="s">
        <v>52</v>
      </c>
      <c r="H38" s="29">
        <f t="shared" si="0"/>
        <v>4.1666666666666685E-2</v>
      </c>
      <c r="I38" s="30">
        <v>0.39583333333333331</v>
      </c>
      <c r="J38" s="30">
        <v>0.4375</v>
      </c>
    </row>
    <row r="39" spans="1:12" ht="37.799999999999997" x14ac:dyDescent="0.2">
      <c r="A39" s="22">
        <v>45751</v>
      </c>
      <c r="B39" s="22" t="s">
        <v>50</v>
      </c>
      <c r="C39" s="27" t="s">
        <v>14</v>
      </c>
      <c r="D39" s="27" t="s">
        <v>15</v>
      </c>
      <c r="E39" s="27" t="s">
        <v>36</v>
      </c>
      <c r="F39" s="27" t="s">
        <v>17</v>
      </c>
      <c r="G39" s="28" t="s">
        <v>53</v>
      </c>
      <c r="H39" s="29">
        <f t="shared" si="0"/>
        <v>3.125E-2</v>
      </c>
      <c r="I39" s="30">
        <v>0.4375</v>
      </c>
      <c r="J39" s="30">
        <v>0.46875</v>
      </c>
    </row>
    <row r="40" spans="1:12" ht="50.4" x14ac:dyDescent="0.2">
      <c r="A40" s="22">
        <v>45751</v>
      </c>
      <c r="B40" s="22" t="s">
        <v>50</v>
      </c>
      <c r="C40" s="27" t="s">
        <v>14</v>
      </c>
      <c r="D40" s="27" t="s">
        <v>15</v>
      </c>
      <c r="E40" s="27" t="s">
        <v>16</v>
      </c>
      <c r="F40" s="27" t="s">
        <v>17</v>
      </c>
      <c r="G40" s="28" t="s">
        <v>54</v>
      </c>
      <c r="H40" s="29">
        <f t="shared" si="0"/>
        <v>4.166666666666663E-2</v>
      </c>
      <c r="I40" s="30">
        <v>0.46875</v>
      </c>
      <c r="J40" s="30">
        <v>0.51041666666666663</v>
      </c>
    </row>
    <row r="41" spans="1:12" x14ac:dyDescent="0.2">
      <c r="A41" s="22">
        <v>45751</v>
      </c>
      <c r="B41" s="22" t="s">
        <v>50</v>
      </c>
      <c r="C41" s="27" t="s">
        <v>14</v>
      </c>
      <c r="D41" s="27" t="s">
        <v>15</v>
      </c>
      <c r="E41" s="27" t="s">
        <v>25</v>
      </c>
      <c r="F41" s="27" t="s">
        <v>17</v>
      </c>
      <c r="G41" s="28" t="s">
        <v>55</v>
      </c>
      <c r="H41" s="29">
        <f t="shared" si="0"/>
        <v>4.1666666666666741E-2</v>
      </c>
      <c r="I41" s="30">
        <v>0.51041666666666663</v>
      </c>
      <c r="J41" s="30">
        <v>0.55208333333333337</v>
      </c>
    </row>
    <row r="42" spans="1:12" ht="63" x14ac:dyDescent="0.2">
      <c r="A42" s="22">
        <v>45751</v>
      </c>
      <c r="B42" s="22" t="s">
        <v>50</v>
      </c>
      <c r="C42" s="27" t="s">
        <v>14</v>
      </c>
      <c r="D42" s="27" t="s">
        <v>15</v>
      </c>
      <c r="E42" s="27" t="s">
        <v>19</v>
      </c>
      <c r="F42" s="27" t="s">
        <v>17</v>
      </c>
      <c r="G42" s="28" t="s">
        <v>56</v>
      </c>
      <c r="H42" s="29">
        <f t="shared" si="0"/>
        <v>0.11458333333333326</v>
      </c>
      <c r="I42" s="30">
        <v>0.55208333333333337</v>
      </c>
      <c r="J42" s="30">
        <v>0.66666666666666663</v>
      </c>
    </row>
    <row r="43" spans="1:12" ht="75.599999999999994" x14ac:dyDescent="0.2">
      <c r="A43" s="22">
        <v>45751</v>
      </c>
      <c r="B43" s="22" t="s">
        <v>50</v>
      </c>
      <c r="C43" s="27" t="s">
        <v>14</v>
      </c>
      <c r="D43" s="27" t="s">
        <v>15</v>
      </c>
      <c r="E43" s="27" t="s">
        <v>16</v>
      </c>
      <c r="F43" s="27" t="s">
        <v>17</v>
      </c>
      <c r="G43" s="28" t="s">
        <v>57</v>
      </c>
      <c r="H43" s="29">
        <f t="shared" si="0"/>
        <v>9.5833333333333326E-2</v>
      </c>
      <c r="I43" s="30">
        <v>0.66666666666666663</v>
      </c>
      <c r="J43" s="30">
        <v>0.76249999999999996</v>
      </c>
      <c r="L43" s="66"/>
    </row>
    <row r="44" spans="1:12" x14ac:dyDescent="0.2">
      <c r="A44" s="31">
        <v>45752</v>
      </c>
      <c r="B44" s="31" t="s">
        <v>58</v>
      </c>
      <c r="C44" s="32"/>
      <c r="D44" s="32"/>
      <c r="E44" s="32"/>
      <c r="F44" s="32"/>
      <c r="G44" s="33"/>
      <c r="H44" s="34">
        <f t="shared" ref="H44:H195" si="1">J44-I44</f>
        <v>0</v>
      </c>
      <c r="I44" s="35"/>
      <c r="J44" s="35"/>
    </row>
    <row r="45" spans="1:12" x14ac:dyDescent="0.2">
      <c r="A45" s="31">
        <v>45753</v>
      </c>
      <c r="B45" s="31" t="s">
        <v>59</v>
      </c>
      <c r="C45" s="32"/>
      <c r="D45" s="32"/>
      <c r="E45" s="32"/>
      <c r="F45" s="32"/>
      <c r="G45" s="33"/>
      <c r="H45" s="34">
        <f t="shared" si="1"/>
        <v>0</v>
      </c>
      <c r="I45" s="35"/>
      <c r="J45" s="35"/>
    </row>
    <row r="46" spans="1:12" ht="63" x14ac:dyDescent="0.2">
      <c r="A46" s="22">
        <v>45754</v>
      </c>
      <c r="B46" s="22" t="s">
        <v>60</v>
      </c>
      <c r="C46" s="27" t="s">
        <v>14</v>
      </c>
      <c r="D46" s="27" t="s">
        <v>15</v>
      </c>
      <c r="E46" s="27" t="s">
        <v>16</v>
      </c>
      <c r="F46" s="27" t="s">
        <v>17</v>
      </c>
      <c r="G46" s="28" t="s">
        <v>61</v>
      </c>
      <c r="H46" s="29">
        <f t="shared" si="1"/>
        <v>4.8611111111111105E-2</v>
      </c>
      <c r="I46" s="30">
        <v>0.3263888888888889</v>
      </c>
      <c r="J46" s="30">
        <v>0.375</v>
      </c>
    </row>
    <row r="47" spans="1:12" ht="63" x14ac:dyDescent="0.2">
      <c r="A47" s="22">
        <v>45754</v>
      </c>
      <c r="B47" s="22" t="s">
        <v>60</v>
      </c>
      <c r="C47" s="27" t="s">
        <v>14</v>
      </c>
      <c r="D47" s="27" t="s">
        <v>15</v>
      </c>
      <c r="E47" s="27" t="s">
        <v>19</v>
      </c>
      <c r="F47" s="27" t="s">
        <v>17</v>
      </c>
      <c r="G47" s="28" t="s">
        <v>62</v>
      </c>
      <c r="H47" s="29">
        <f t="shared" si="1"/>
        <v>5.2083333333333315E-2</v>
      </c>
      <c r="I47" s="30">
        <v>0.375</v>
      </c>
      <c r="J47" s="30">
        <v>0.42708333333333331</v>
      </c>
    </row>
    <row r="48" spans="1:12" ht="25.2" x14ac:dyDescent="0.2">
      <c r="A48" s="22">
        <v>45754</v>
      </c>
      <c r="B48" s="22" t="s">
        <v>60</v>
      </c>
      <c r="C48" s="27" t="s">
        <v>14</v>
      </c>
      <c r="D48" s="27" t="s">
        <v>15</v>
      </c>
      <c r="E48" s="27" t="s">
        <v>16</v>
      </c>
      <c r="F48" s="27" t="s">
        <v>17</v>
      </c>
      <c r="G48" s="28" t="s">
        <v>63</v>
      </c>
      <c r="H48" s="29">
        <f t="shared" si="1"/>
        <v>3.125E-2</v>
      </c>
      <c r="I48" s="30">
        <v>0.42708333333333331</v>
      </c>
      <c r="J48" s="30">
        <v>0.45833333333333331</v>
      </c>
    </row>
    <row r="49" spans="1:13" ht="36.6" customHeight="1" x14ac:dyDescent="0.2">
      <c r="A49" s="22">
        <v>45754</v>
      </c>
      <c r="B49" s="22" t="s">
        <v>60</v>
      </c>
      <c r="C49" s="27" t="s">
        <v>14</v>
      </c>
      <c r="D49" s="27" t="s">
        <v>15</v>
      </c>
      <c r="E49" s="27" t="s">
        <v>16</v>
      </c>
      <c r="F49" s="27" t="s">
        <v>17</v>
      </c>
      <c r="G49" s="28" t="s">
        <v>64</v>
      </c>
      <c r="H49" s="29">
        <f t="shared" si="1"/>
        <v>4.1666666666666685E-2</v>
      </c>
      <c r="I49" s="30">
        <v>0.45833333333333331</v>
      </c>
      <c r="J49" s="30">
        <v>0.5</v>
      </c>
    </row>
    <row r="50" spans="1:13" x14ac:dyDescent="0.2">
      <c r="A50" s="22">
        <v>45754</v>
      </c>
      <c r="B50" s="22" t="s">
        <v>60</v>
      </c>
      <c r="C50" s="27" t="s">
        <v>14</v>
      </c>
      <c r="D50" s="27" t="s">
        <v>15</v>
      </c>
      <c r="E50" s="27" t="s">
        <v>25</v>
      </c>
      <c r="F50" s="27" t="s">
        <v>17</v>
      </c>
      <c r="G50" s="28" t="s">
        <v>65</v>
      </c>
      <c r="H50" s="29">
        <f t="shared" si="1"/>
        <v>4.166666666666663E-2</v>
      </c>
      <c r="I50" s="30">
        <v>0.5</v>
      </c>
      <c r="J50" s="30">
        <v>0.54166666666666663</v>
      </c>
    </row>
    <row r="51" spans="1:13" ht="75.599999999999994" x14ac:dyDescent="0.2">
      <c r="A51" s="22">
        <v>45754</v>
      </c>
      <c r="B51" s="22" t="s">
        <v>60</v>
      </c>
      <c r="C51" s="27" t="s">
        <v>14</v>
      </c>
      <c r="D51" s="27" t="s">
        <v>15</v>
      </c>
      <c r="E51" s="27" t="s">
        <v>19</v>
      </c>
      <c r="F51" s="27" t="s">
        <v>17</v>
      </c>
      <c r="G51" s="28" t="s">
        <v>66</v>
      </c>
      <c r="H51" s="29">
        <f t="shared" si="1"/>
        <v>0.125</v>
      </c>
      <c r="I51" s="30">
        <v>0.54166666666666663</v>
      </c>
      <c r="J51" s="30">
        <v>0.66666666666666663</v>
      </c>
    </row>
    <row r="52" spans="1:13" ht="63" x14ac:dyDescent="0.2">
      <c r="A52" s="22">
        <v>45754</v>
      </c>
      <c r="B52" s="22" t="s">
        <v>60</v>
      </c>
      <c r="C52" s="27" t="s">
        <v>14</v>
      </c>
      <c r="D52" s="27" t="s">
        <v>15</v>
      </c>
      <c r="E52" s="27" t="s">
        <v>16</v>
      </c>
      <c r="F52" s="27" t="s">
        <v>17</v>
      </c>
      <c r="G52" s="28" t="s">
        <v>67</v>
      </c>
      <c r="H52" s="29">
        <f t="shared" si="1"/>
        <v>6.5277777777777768E-2</v>
      </c>
      <c r="I52" s="30">
        <v>0.66666666666666663</v>
      </c>
      <c r="J52" s="30">
        <v>0.7319444444444444</v>
      </c>
      <c r="L52" s="66"/>
    </row>
    <row r="53" spans="1:13" ht="63" x14ac:dyDescent="0.2">
      <c r="A53" s="22">
        <v>45755</v>
      </c>
      <c r="B53" s="22" t="s">
        <v>13</v>
      </c>
      <c r="C53" s="27" t="s">
        <v>14</v>
      </c>
      <c r="D53" s="27" t="s">
        <v>15</v>
      </c>
      <c r="E53" s="27" t="s">
        <v>16</v>
      </c>
      <c r="F53" s="27" t="s">
        <v>17</v>
      </c>
      <c r="G53" s="28" t="s">
        <v>61</v>
      </c>
      <c r="H53" s="29">
        <f t="shared" si="1"/>
        <v>2.777777777777779E-2</v>
      </c>
      <c r="I53" s="30">
        <v>0.3263888888888889</v>
      </c>
      <c r="J53" s="30">
        <v>0.35416666666666669</v>
      </c>
      <c r="M53" s="66"/>
    </row>
    <row r="54" spans="1:13" ht="63" x14ac:dyDescent="0.2">
      <c r="A54" s="22">
        <v>45755</v>
      </c>
      <c r="B54" s="22" t="s">
        <v>13</v>
      </c>
      <c r="C54" s="27" t="s">
        <v>14</v>
      </c>
      <c r="D54" s="27" t="s">
        <v>15</v>
      </c>
      <c r="E54" s="27" t="s">
        <v>19</v>
      </c>
      <c r="F54" s="27" t="s">
        <v>17</v>
      </c>
      <c r="G54" s="28" t="s">
        <v>68</v>
      </c>
      <c r="H54" s="29">
        <f t="shared" si="1"/>
        <v>0.10416666666666663</v>
      </c>
      <c r="I54" s="30">
        <v>0.35416666666666669</v>
      </c>
      <c r="J54" s="30">
        <v>0.45833333333333331</v>
      </c>
    </row>
    <row r="55" spans="1:13" ht="50.4" x14ac:dyDescent="0.2">
      <c r="A55" s="22">
        <v>45755</v>
      </c>
      <c r="B55" s="22" t="s">
        <v>13</v>
      </c>
      <c r="C55" s="27" t="s">
        <v>14</v>
      </c>
      <c r="D55" s="27" t="s">
        <v>15</v>
      </c>
      <c r="E55" s="27" t="s">
        <v>16</v>
      </c>
      <c r="F55" s="27" t="s">
        <v>17</v>
      </c>
      <c r="G55" s="28" t="s">
        <v>69</v>
      </c>
      <c r="H55" s="29">
        <f t="shared" si="1"/>
        <v>4.5138888888888895E-2</v>
      </c>
      <c r="I55" s="30">
        <v>0.45833333333333331</v>
      </c>
      <c r="J55" s="30">
        <v>0.50347222222222221</v>
      </c>
    </row>
    <row r="56" spans="1:13" x14ac:dyDescent="0.2">
      <c r="A56" s="22">
        <v>45755</v>
      </c>
      <c r="B56" s="22" t="s">
        <v>13</v>
      </c>
      <c r="C56" s="27" t="s">
        <v>14</v>
      </c>
      <c r="D56" s="27" t="s">
        <v>15</v>
      </c>
      <c r="E56" s="27" t="s">
        <v>25</v>
      </c>
      <c r="F56" s="27" t="s">
        <v>17</v>
      </c>
      <c r="G56" s="28" t="s">
        <v>26</v>
      </c>
      <c r="H56" s="29">
        <f t="shared" si="1"/>
        <v>4.0277777777777746E-2</v>
      </c>
      <c r="I56" s="30">
        <v>0.50347222222222221</v>
      </c>
      <c r="J56" s="30">
        <v>0.54374999999999996</v>
      </c>
    </row>
    <row r="57" spans="1:13" ht="50.4" x14ac:dyDescent="0.2">
      <c r="A57" s="22">
        <v>45755</v>
      </c>
      <c r="B57" s="22" t="s">
        <v>13</v>
      </c>
      <c r="C57" s="27" t="s">
        <v>14</v>
      </c>
      <c r="D57" s="27" t="s">
        <v>15</v>
      </c>
      <c r="E57" s="27" t="s">
        <v>19</v>
      </c>
      <c r="F57" s="27" t="s">
        <v>17</v>
      </c>
      <c r="G57" s="28" t="s">
        <v>70</v>
      </c>
      <c r="H57" s="29">
        <f t="shared" si="1"/>
        <v>8.3333333333334147E-3</v>
      </c>
      <c r="I57" s="30">
        <v>0.54374999999999996</v>
      </c>
      <c r="J57" s="30">
        <v>0.55208333333333337</v>
      </c>
    </row>
    <row r="58" spans="1:13" ht="50.4" x14ac:dyDescent="0.2">
      <c r="A58" s="22">
        <v>45755</v>
      </c>
      <c r="B58" s="22" t="s">
        <v>13</v>
      </c>
      <c r="C58" s="27" t="s">
        <v>14</v>
      </c>
      <c r="D58" s="27" t="s">
        <v>15</v>
      </c>
      <c r="E58" s="27" t="s">
        <v>16</v>
      </c>
      <c r="F58" s="27" t="s">
        <v>17</v>
      </c>
      <c r="G58" s="28" t="s">
        <v>71</v>
      </c>
      <c r="H58" s="29">
        <f t="shared" si="1"/>
        <v>1.9444444444444375E-2</v>
      </c>
      <c r="I58" s="30">
        <v>0.55208333333333337</v>
      </c>
      <c r="J58" s="30">
        <v>0.57152777777777775</v>
      </c>
    </row>
    <row r="59" spans="1:13" ht="25.2" x14ac:dyDescent="0.2">
      <c r="A59" s="22">
        <v>45755</v>
      </c>
      <c r="B59" s="22" t="s">
        <v>13</v>
      </c>
      <c r="C59" s="27" t="s">
        <v>14</v>
      </c>
      <c r="D59" s="27" t="s">
        <v>15</v>
      </c>
      <c r="E59" s="27" t="s">
        <v>19</v>
      </c>
      <c r="F59" s="27" t="s">
        <v>17</v>
      </c>
      <c r="G59" s="28" t="s">
        <v>72</v>
      </c>
      <c r="H59" s="29">
        <f t="shared" si="1"/>
        <v>8.3333333333333037E-3</v>
      </c>
      <c r="I59" s="30">
        <v>0.58333333333333337</v>
      </c>
      <c r="J59" s="30">
        <v>0.59166666666666667</v>
      </c>
    </row>
    <row r="60" spans="1:13" ht="63" x14ac:dyDescent="0.2">
      <c r="A60" s="22">
        <v>45755</v>
      </c>
      <c r="B60" s="22" t="s">
        <v>13</v>
      </c>
      <c r="C60" s="27" t="s">
        <v>14</v>
      </c>
      <c r="D60" s="27" t="s">
        <v>15</v>
      </c>
      <c r="E60" s="27" t="s">
        <v>19</v>
      </c>
      <c r="F60" s="27" t="s">
        <v>17</v>
      </c>
      <c r="G60" s="28" t="s">
        <v>73</v>
      </c>
      <c r="H60" s="29">
        <f t="shared" si="1"/>
        <v>7.4999999999999956E-2</v>
      </c>
      <c r="I60" s="30">
        <v>0.59166666666666667</v>
      </c>
      <c r="J60" s="30">
        <v>0.66666666666666663</v>
      </c>
    </row>
    <row r="61" spans="1:13" ht="25.2" x14ac:dyDescent="0.2">
      <c r="A61" s="22">
        <v>45755</v>
      </c>
      <c r="B61" s="22" t="s">
        <v>13</v>
      </c>
      <c r="C61" s="27" t="s">
        <v>14</v>
      </c>
      <c r="D61" s="27" t="s">
        <v>15</v>
      </c>
      <c r="E61" s="27" t="s">
        <v>16</v>
      </c>
      <c r="F61" s="27" t="s">
        <v>17</v>
      </c>
      <c r="G61" s="28" t="s">
        <v>74</v>
      </c>
      <c r="H61" s="29">
        <f t="shared" si="1"/>
        <v>6.5277777777777768E-2</v>
      </c>
      <c r="I61" s="30">
        <v>0.66666666666666663</v>
      </c>
      <c r="J61" s="30">
        <v>0.7319444444444444</v>
      </c>
      <c r="K61" s="66"/>
    </row>
    <row r="62" spans="1:13" ht="70.2" customHeight="1" x14ac:dyDescent="0.2">
      <c r="A62" s="22">
        <v>45756</v>
      </c>
      <c r="B62" s="22" t="s">
        <v>30</v>
      </c>
      <c r="C62" s="27" t="s">
        <v>14</v>
      </c>
      <c r="D62" s="27" t="s">
        <v>15</v>
      </c>
      <c r="E62" s="27" t="s">
        <v>16</v>
      </c>
      <c r="F62" s="27" t="s">
        <v>17</v>
      </c>
      <c r="G62" s="28" t="s">
        <v>61</v>
      </c>
      <c r="H62" s="29">
        <f t="shared" si="1"/>
        <v>1.3888888888888895E-2</v>
      </c>
      <c r="I62" s="30">
        <v>0.3263888888888889</v>
      </c>
      <c r="J62" s="30">
        <v>0.34027777777777779</v>
      </c>
    </row>
    <row r="63" spans="1:13" ht="63" x14ac:dyDescent="0.2">
      <c r="A63" s="22">
        <v>45756</v>
      </c>
      <c r="B63" s="22" t="s">
        <v>30</v>
      </c>
      <c r="C63" s="27" t="s">
        <v>14</v>
      </c>
      <c r="D63" s="27" t="s">
        <v>15</v>
      </c>
      <c r="E63" s="27" t="s">
        <v>19</v>
      </c>
      <c r="F63" s="27" t="s">
        <v>17</v>
      </c>
      <c r="G63" s="28" t="s">
        <v>68</v>
      </c>
      <c r="H63" s="29">
        <f t="shared" si="1"/>
        <v>5.5555555555555525E-2</v>
      </c>
      <c r="I63" s="30">
        <v>0.34027777777777779</v>
      </c>
      <c r="J63" s="30">
        <v>0.39583333333333331</v>
      </c>
    </row>
    <row r="64" spans="1:13" ht="25.2" x14ac:dyDescent="0.2">
      <c r="A64" s="22">
        <v>45756</v>
      </c>
      <c r="B64" s="22" t="s">
        <v>30</v>
      </c>
      <c r="C64" s="27" t="s">
        <v>14</v>
      </c>
      <c r="D64" s="27" t="s">
        <v>15</v>
      </c>
      <c r="E64" s="27" t="s">
        <v>16</v>
      </c>
      <c r="F64" s="27" t="s">
        <v>17</v>
      </c>
      <c r="G64" s="28" t="s">
        <v>75</v>
      </c>
      <c r="H64" s="29">
        <f t="shared" si="1"/>
        <v>2.083333333333337E-2</v>
      </c>
      <c r="I64" s="30">
        <v>0.39583333333333331</v>
      </c>
      <c r="J64" s="30">
        <v>0.41666666666666669</v>
      </c>
    </row>
    <row r="65" spans="1:12" ht="25.2" x14ac:dyDescent="0.2">
      <c r="A65" s="22">
        <v>45756</v>
      </c>
      <c r="B65" s="22" t="s">
        <v>30</v>
      </c>
      <c r="C65" s="27" t="s">
        <v>14</v>
      </c>
      <c r="D65" s="27" t="s">
        <v>15</v>
      </c>
      <c r="E65" s="27" t="s">
        <v>16</v>
      </c>
      <c r="F65" s="27" t="s">
        <v>17</v>
      </c>
      <c r="G65" s="28" t="s">
        <v>72</v>
      </c>
      <c r="H65" s="29">
        <f t="shared" si="1"/>
        <v>6.9444444444444198E-3</v>
      </c>
      <c r="I65" s="30">
        <v>0.41666666666666669</v>
      </c>
      <c r="J65" s="30">
        <v>0.4236111111111111</v>
      </c>
    </row>
    <row r="66" spans="1:12" ht="63" x14ac:dyDescent="0.2">
      <c r="A66" s="22">
        <v>45756</v>
      </c>
      <c r="B66" s="22" t="s">
        <v>30</v>
      </c>
      <c r="C66" s="27" t="s">
        <v>14</v>
      </c>
      <c r="D66" s="27" t="s">
        <v>15</v>
      </c>
      <c r="E66" s="27" t="s">
        <v>19</v>
      </c>
      <c r="F66" s="27" t="s">
        <v>17</v>
      </c>
      <c r="G66" s="28" t="s">
        <v>73</v>
      </c>
      <c r="H66" s="29">
        <f t="shared" si="1"/>
        <v>3.472222222222221E-2</v>
      </c>
      <c r="I66" s="30">
        <v>0.4236111111111111</v>
      </c>
      <c r="J66" s="30">
        <v>0.45833333333333331</v>
      </c>
    </row>
    <row r="67" spans="1:12" ht="37.799999999999997" x14ac:dyDescent="0.2">
      <c r="A67" s="22">
        <v>45756</v>
      </c>
      <c r="B67" s="22" t="s">
        <v>30</v>
      </c>
      <c r="C67" s="27" t="s">
        <v>14</v>
      </c>
      <c r="D67" s="27" t="s">
        <v>15</v>
      </c>
      <c r="E67" s="27" t="s">
        <v>16</v>
      </c>
      <c r="F67" s="27" t="s">
        <v>17</v>
      </c>
      <c r="G67" s="28" t="s">
        <v>76</v>
      </c>
      <c r="H67" s="29">
        <f t="shared" si="1"/>
        <v>2.7777777777778234E-3</v>
      </c>
      <c r="I67" s="30">
        <v>0.45833333333333331</v>
      </c>
      <c r="J67" s="30">
        <v>0.46111111111111114</v>
      </c>
    </row>
    <row r="68" spans="1:12" ht="63" x14ac:dyDescent="0.2">
      <c r="A68" s="22">
        <v>45756</v>
      </c>
      <c r="B68" s="22" t="s">
        <v>30</v>
      </c>
      <c r="C68" s="27" t="s">
        <v>14</v>
      </c>
      <c r="D68" s="27" t="s">
        <v>15</v>
      </c>
      <c r="E68" s="27" t="s">
        <v>19</v>
      </c>
      <c r="F68" s="27" t="s">
        <v>17</v>
      </c>
      <c r="G68" s="28" t="s">
        <v>73</v>
      </c>
      <c r="H68" s="29">
        <f t="shared" si="1"/>
        <v>7.6388888888888618E-3</v>
      </c>
      <c r="I68" s="30">
        <v>0.46111111111111114</v>
      </c>
      <c r="J68" s="30">
        <v>0.46875</v>
      </c>
    </row>
    <row r="69" spans="1:12" ht="25.2" x14ac:dyDescent="0.2">
      <c r="A69" s="22">
        <v>45756</v>
      </c>
      <c r="B69" s="22" t="s">
        <v>30</v>
      </c>
      <c r="C69" s="27" t="s">
        <v>14</v>
      </c>
      <c r="D69" s="27" t="s">
        <v>15</v>
      </c>
      <c r="E69" s="27" t="s">
        <v>16</v>
      </c>
      <c r="F69" s="27" t="s">
        <v>17</v>
      </c>
      <c r="G69" s="28" t="s">
        <v>77</v>
      </c>
      <c r="H69" s="29">
        <f t="shared" si="1"/>
        <v>1.0416666666666685E-2</v>
      </c>
      <c r="I69" s="30">
        <v>0.46875</v>
      </c>
      <c r="J69" s="30">
        <v>0.47916666666666669</v>
      </c>
    </row>
    <row r="70" spans="1:12" ht="63" x14ac:dyDescent="0.2">
      <c r="A70" s="22">
        <v>45756</v>
      </c>
      <c r="B70" s="22" t="s">
        <v>30</v>
      </c>
      <c r="C70" s="27" t="s">
        <v>14</v>
      </c>
      <c r="D70" s="27" t="s">
        <v>15</v>
      </c>
      <c r="E70" s="27" t="s">
        <v>19</v>
      </c>
      <c r="F70" s="27" t="s">
        <v>17</v>
      </c>
      <c r="G70" s="28" t="s">
        <v>73</v>
      </c>
      <c r="H70" s="29">
        <f t="shared" si="1"/>
        <v>2.3611111111111083E-2</v>
      </c>
      <c r="I70" s="30">
        <v>0.47916666666666669</v>
      </c>
      <c r="J70" s="30">
        <v>0.50277777777777777</v>
      </c>
    </row>
    <row r="71" spans="1:12" x14ac:dyDescent="0.2">
      <c r="A71" s="22">
        <v>45756</v>
      </c>
      <c r="B71" s="22" t="s">
        <v>30</v>
      </c>
      <c r="C71" s="27" t="s">
        <v>14</v>
      </c>
      <c r="D71" s="27" t="s">
        <v>15</v>
      </c>
      <c r="E71" s="27" t="s">
        <v>25</v>
      </c>
      <c r="F71" s="27" t="s">
        <v>17</v>
      </c>
      <c r="G71" s="28" t="s">
        <v>78</v>
      </c>
      <c r="H71" s="29">
        <f t="shared" si="1"/>
        <v>4.166666666666663E-2</v>
      </c>
      <c r="I71" s="30">
        <v>0.50277777777777777</v>
      </c>
      <c r="J71" s="30">
        <v>0.5444444444444444</v>
      </c>
    </row>
    <row r="72" spans="1:12" ht="63" x14ac:dyDescent="0.2">
      <c r="A72" s="22">
        <v>45756</v>
      </c>
      <c r="B72" s="22" t="s">
        <v>30</v>
      </c>
      <c r="C72" s="27" t="s">
        <v>14</v>
      </c>
      <c r="D72" s="27" t="s">
        <v>15</v>
      </c>
      <c r="E72" s="27" t="s">
        <v>19</v>
      </c>
      <c r="F72" s="27" t="s">
        <v>17</v>
      </c>
      <c r="G72" s="40" t="s">
        <v>73</v>
      </c>
      <c r="H72" s="29">
        <f t="shared" si="1"/>
        <v>1.8055555555555602E-2</v>
      </c>
      <c r="I72" s="30">
        <v>0.5444444444444444</v>
      </c>
      <c r="J72" s="30">
        <v>0.5625</v>
      </c>
    </row>
    <row r="73" spans="1:12" ht="25.2" x14ac:dyDescent="0.2">
      <c r="A73" s="22">
        <v>45756</v>
      </c>
      <c r="B73" s="22" t="s">
        <v>30</v>
      </c>
      <c r="C73" s="27" t="s">
        <v>14</v>
      </c>
      <c r="D73" s="27" t="s">
        <v>15</v>
      </c>
      <c r="E73" s="27" t="s">
        <v>16</v>
      </c>
      <c r="F73" s="27" t="s">
        <v>17</v>
      </c>
      <c r="G73" s="28" t="s">
        <v>79</v>
      </c>
      <c r="H73" s="29">
        <f t="shared" si="1"/>
        <v>2.0833333333333259E-3</v>
      </c>
      <c r="I73" s="30">
        <v>0.5625</v>
      </c>
      <c r="J73" s="30">
        <v>0.56458333333333333</v>
      </c>
    </row>
    <row r="74" spans="1:12" ht="63" x14ac:dyDescent="0.2">
      <c r="A74" s="22">
        <v>45756</v>
      </c>
      <c r="B74" s="22" t="s">
        <v>30</v>
      </c>
      <c r="C74" s="27" t="s">
        <v>14</v>
      </c>
      <c r="D74" s="27" t="s">
        <v>15</v>
      </c>
      <c r="E74" s="27" t="s">
        <v>19</v>
      </c>
      <c r="F74" s="27" t="s">
        <v>17</v>
      </c>
      <c r="G74" s="28" t="s">
        <v>73</v>
      </c>
      <c r="H74" s="29">
        <f t="shared" si="1"/>
        <v>0.14374999999999993</v>
      </c>
      <c r="I74" s="30">
        <v>0.5229166666666667</v>
      </c>
      <c r="J74" s="30">
        <v>0.66666666666666663</v>
      </c>
    </row>
    <row r="75" spans="1:12" ht="75.599999999999994" x14ac:dyDescent="0.2">
      <c r="A75" s="22">
        <v>45756</v>
      </c>
      <c r="B75" s="22" t="s">
        <v>30</v>
      </c>
      <c r="C75" s="27" t="s">
        <v>14</v>
      </c>
      <c r="D75" s="27" t="s">
        <v>15</v>
      </c>
      <c r="E75" s="27" t="s">
        <v>16</v>
      </c>
      <c r="F75" s="27" t="s">
        <v>17</v>
      </c>
      <c r="G75" s="28" t="s">
        <v>80</v>
      </c>
      <c r="H75" s="29">
        <f t="shared" si="1"/>
        <v>0.12291666666666667</v>
      </c>
      <c r="I75" s="30">
        <v>0.66666666666666663</v>
      </c>
      <c r="J75" s="30">
        <v>0.7895833333333333</v>
      </c>
      <c r="L75" s="66"/>
    </row>
    <row r="76" spans="1:12" ht="75.599999999999994" x14ac:dyDescent="0.2">
      <c r="A76" s="22">
        <v>45757</v>
      </c>
      <c r="B76" s="22" t="s">
        <v>41</v>
      </c>
      <c r="C76" s="27" t="s">
        <v>14</v>
      </c>
      <c r="D76" s="27" t="s">
        <v>15</v>
      </c>
      <c r="E76" s="27" t="s">
        <v>16</v>
      </c>
      <c r="F76" s="27" t="s">
        <v>17</v>
      </c>
      <c r="G76" s="28" t="s">
        <v>81</v>
      </c>
      <c r="H76" s="29">
        <f t="shared" si="1"/>
        <v>3.4027777777777768E-2</v>
      </c>
      <c r="I76" s="30">
        <v>0.3263888888888889</v>
      </c>
      <c r="J76" s="30">
        <v>0.36041666666666666</v>
      </c>
    </row>
    <row r="77" spans="1:12" ht="63" x14ac:dyDescent="0.2">
      <c r="A77" s="22">
        <v>45757</v>
      </c>
      <c r="B77" s="22" t="s">
        <v>41</v>
      </c>
      <c r="C77" s="27" t="s">
        <v>14</v>
      </c>
      <c r="D77" s="27" t="s">
        <v>15</v>
      </c>
      <c r="E77" s="27" t="s">
        <v>19</v>
      </c>
      <c r="F77" s="27" t="s">
        <v>17</v>
      </c>
      <c r="G77" s="28" t="s">
        <v>82</v>
      </c>
      <c r="H77" s="29">
        <f t="shared" si="1"/>
        <v>5.6250000000000022E-2</v>
      </c>
      <c r="I77" s="30">
        <v>0.36041666666666666</v>
      </c>
      <c r="J77" s="30">
        <v>0.41666666666666669</v>
      </c>
    </row>
    <row r="78" spans="1:12" ht="25.2" x14ac:dyDescent="0.2">
      <c r="A78" s="22">
        <v>45757</v>
      </c>
      <c r="B78" s="22" t="s">
        <v>41</v>
      </c>
      <c r="C78" s="27" t="s">
        <v>14</v>
      </c>
      <c r="D78" s="27" t="s">
        <v>15</v>
      </c>
      <c r="E78" s="27" t="s">
        <v>16</v>
      </c>
      <c r="F78" s="27" t="s">
        <v>17</v>
      </c>
      <c r="G78" s="28" t="s">
        <v>83</v>
      </c>
      <c r="H78" s="29">
        <f t="shared" si="1"/>
        <v>1.041666666666663E-2</v>
      </c>
      <c r="I78" s="30">
        <v>0.41666666666666669</v>
      </c>
      <c r="J78" s="30">
        <v>0.42708333333333331</v>
      </c>
    </row>
    <row r="79" spans="1:12" ht="63" x14ac:dyDescent="0.2">
      <c r="A79" s="22">
        <v>45757</v>
      </c>
      <c r="B79" s="22" t="s">
        <v>41</v>
      </c>
      <c r="C79" s="27" t="s">
        <v>14</v>
      </c>
      <c r="D79" s="27" t="s">
        <v>15</v>
      </c>
      <c r="E79" s="27" t="s">
        <v>19</v>
      </c>
      <c r="F79" s="27" t="s">
        <v>17</v>
      </c>
      <c r="G79" s="28" t="s">
        <v>73</v>
      </c>
      <c r="H79" s="29">
        <f t="shared" si="1"/>
        <v>3.125E-2</v>
      </c>
      <c r="I79" s="30">
        <v>0.42708333333333331</v>
      </c>
      <c r="J79" s="30">
        <v>0.45833333333333331</v>
      </c>
    </row>
    <row r="80" spans="1:12" ht="37.799999999999997" x14ac:dyDescent="0.2">
      <c r="A80" s="22">
        <v>45757</v>
      </c>
      <c r="B80" s="22" t="s">
        <v>41</v>
      </c>
      <c r="C80" s="27" t="s">
        <v>14</v>
      </c>
      <c r="D80" s="27" t="s">
        <v>15</v>
      </c>
      <c r="E80" s="27" t="s">
        <v>16</v>
      </c>
      <c r="F80" s="27" t="s">
        <v>17</v>
      </c>
      <c r="G80" s="28" t="s">
        <v>35</v>
      </c>
      <c r="H80" s="29">
        <f t="shared" si="1"/>
        <v>2.8472222222222232E-2</v>
      </c>
      <c r="I80" s="30">
        <v>0.45833333333333331</v>
      </c>
      <c r="J80" s="30">
        <v>0.48680555555555555</v>
      </c>
    </row>
    <row r="81" spans="1:12" ht="63" x14ac:dyDescent="0.2">
      <c r="A81" s="22">
        <v>45757</v>
      </c>
      <c r="B81" s="22" t="s">
        <v>41</v>
      </c>
      <c r="C81" s="27" t="s">
        <v>14</v>
      </c>
      <c r="D81" s="27" t="s">
        <v>15</v>
      </c>
      <c r="E81" s="27" t="s">
        <v>19</v>
      </c>
      <c r="F81" s="27" t="s">
        <v>17</v>
      </c>
      <c r="G81" s="28" t="s">
        <v>73</v>
      </c>
      <c r="H81" s="29">
        <f t="shared" si="1"/>
        <v>1.3194444444444453E-2</v>
      </c>
      <c r="I81" s="30">
        <v>0.48680555555555555</v>
      </c>
      <c r="J81" s="30">
        <v>0.5</v>
      </c>
    </row>
    <row r="82" spans="1:12" x14ac:dyDescent="0.2">
      <c r="A82" s="22">
        <v>45757</v>
      </c>
      <c r="B82" s="22" t="s">
        <v>41</v>
      </c>
      <c r="C82" s="27" t="s">
        <v>14</v>
      </c>
      <c r="D82" s="27" t="s">
        <v>15</v>
      </c>
      <c r="E82" s="27" t="s">
        <v>25</v>
      </c>
      <c r="F82" s="27" t="s">
        <v>17</v>
      </c>
      <c r="G82" s="28" t="s">
        <v>84</v>
      </c>
      <c r="H82" s="29">
        <f t="shared" si="1"/>
        <v>4.3055555555555514E-2</v>
      </c>
      <c r="I82" s="30">
        <v>0.5</v>
      </c>
      <c r="J82" s="30">
        <v>0.54305555555555551</v>
      </c>
    </row>
    <row r="83" spans="1:12" ht="63" x14ac:dyDescent="0.2">
      <c r="A83" s="22">
        <v>45757</v>
      </c>
      <c r="B83" s="22" t="s">
        <v>41</v>
      </c>
      <c r="C83" s="27" t="s">
        <v>14</v>
      </c>
      <c r="D83" s="27" t="s">
        <v>15</v>
      </c>
      <c r="E83" s="27" t="s">
        <v>19</v>
      </c>
      <c r="F83" s="27" t="s">
        <v>17</v>
      </c>
      <c r="G83" s="28" t="s">
        <v>73</v>
      </c>
      <c r="H83" s="29">
        <f t="shared" si="1"/>
        <v>4.0277777777777857E-2</v>
      </c>
      <c r="I83" s="30">
        <v>0.54305555555555551</v>
      </c>
      <c r="J83" s="30">
        <v>0.58333333333333337</v>
      </c>
    </row>
    <row r="84" spans="1:12" ht="37.799999999999997" x14ac:dyDescent="0.2">
      <c r="A84" s="22">
        <v>45757</v>
      </c>
      <c r="B84" s="22" t="s">
        <v>41</v>
      </c>
      <c r="C84" s="27" t="s">
        <v>14</v>
      </c>
      <c r="D84" s="27" t="s">
        <v>15</v>
      </c>
      <c r="E84" s="27" t="s">
        <v>16</v>
      </c>
      <c r="F84" s="27" t="s">
        <v>17</v>
      </c>
      <c r="G84" s="28" t="s">
        <v>85</v>
      </c>
      <c r="H84" s="29">
        <f t="shared" si="1"/>
        <v>1.8749999999999933E-2</v>
      </c>
      <c r="I84" s="30">
        <v>0.58333333333333337</v>
      </c>
      <c r="J84" s="30">
        <v>0.6020833333333333</v>
      </c>
    </row>
    <row r="85" spans="1:12" ht="75.599999999999994" x14ac:dyDescent="0.2">
      <c r="A85" s="22">
        <v>45757</v>
      </c>
      <c r="B85" s="22" t="s">
        <v>41</v>
      </c>
      <c r="C85" s="27" t="s">
        <v>14</v>
      </c>
      <c r="D85" s="27" t="s">
        <v>15</v>
      </c>
      <c r="E85" s="27" t="s">
        <v>19</v>
      </c>
      <c r="F85" s="27" t="s">
        <v>17</v>
      </c>
      <c r="G85" s="28" t="s">
        <v>86</v>
      </c>
      <c r="H85" s="29">
        <f t="shared" si="1"/>
        <v>6.4583333333333326E-2</v>
      </c>
      <c r="I85" s="30">
        <v>0.6020833333333333</v>
      </c>
      <c r="J85" s="30">
        <v>0.66666666666666663</v>
      </c>
    </row>
    <row r="86" spans="1:12" ht="75.599999999999994" x14ac:dyDescent="0.2">
      <c r="A86" s="22">
        <v>45757</v>
      </c>
      <c r="B86" s="22" t="s">
        <v>41</v>
      </c>
      <c r="C86" s="27" t="s">
        <v>14</v>
      </c>
      <c r="D86" s="27" t="s">
        <v>15</v>
      </c>
      <c r="E86" s="27" t="s">
        <v>16</v>
      </c>
      <c r="F86" s="27" t="s">
        <v>17</v>
      </c>
      <c r="G86" s="28" t="s">
        <v>87</v>
      </c>
      <c r="H86" s="29">
        <f t="shared" si="1"/>
        <v>6.3888888888888884E-2</v>
      </c>
      <c r="I86" s="30">
        <v>0.66666666666666663</v>
      </c>
      <c r="J86" s="30">
        <v>0.73055555555555551</v>
      </c>
      <c r="L86" s="66"/>
    </row>
    <row r="87" spans="1:12" ht="70.2" customHeight="1" x14ac:dyDescent="0.2">
      <c r="A87" s="22">
        <v>45758</v>
      </c>
      <c r="B87" s="22" t="s">
        <v>50</v>
      </c>
      <c r="C87" s="27" t="s">
        <v>14</v>
      </c>
      <c r="D87" s="27" t="s">
        <v>15</v>
      </c>
      <c r="E87" s="27" t="s">
        <v>16</v>
      </c>
      <c r="F87" s="27" t="s">
        <v>17</v>
      </c>
      <c r="G87" s="28" t="s">
        <v>88</v>
      </c>
      <c r="H87" s="29">
        <f t="shared" si="1"/>
        <v>9.7222222222221877E-3</v>
      </c>
      <c r="I87" s="30">
        <v>0.32569444444444445</v>
      </c>
      <c r="J87" s="30">
        <v>0.33541666666666664</v>
      </c>
    </row>
    <row r="88" spans="1:12" ht="75.599999999999994" x14ac:dyDescent="0.2">
      <c r="A88" s="22">
        <v>45758</v>
      </c>
      <c r="B88" s="22" t="s">
        <v>50</v>
      </c>
      <c r="C88" s="27" t="s">
        <v>14</v>
      </c>
      <c r="D88" s="27" t="s">
        <v>15</v>
      </c>
      <c r="E88" s="27" t="s">
        <v>19</v>
      </c>
      <c r="F88" s="27" t="s">
        <v>17</v>
      </c>
      <c r="G88" s="28" t="s">
        <v>89</v>
      </c>
      <c r="H88" s="29">
        <f t="shared" si="1"/>
        <v>8.1250000000000044E-2</v>
      </c>
      <c r="I88" s="30">
        <v>0.33541666666666664</v>
      </c>
      <c r="J88" s="30">
        <v>0.41666666666666669</v>
      </c>
    </row>
    <row r="89" spans="1:12" ht="25.2" x14ac:dyDescent="0.2">
      <c r="A89" s="22">
        <v>45758</v>
      </c>
      <c r="B89" s="22" t="s">
        <v>50</v>
      </c>
      <c r="C89" s="27" t="s">
        <v>14</v>
      </c>
      <c r="D89" s="27" t="s">
        <v>15</v>
      </c>
      <c r="E89" s="27" t="s">
        <v>16</v>
      </c>
      <c r="F89" s="27" t="s">
        <v>17</v>
      </c>
      <c r="G89" s="28" t="s">
        <v>90</v>
      </c>
      <c r="H89" s="29">
        <f t="shared" si="1"/>
        <v>1.2499999999999956E-2</v>
      </c>
      <c r="I89" s="30">
        <v>0.41666666666666669</v>
      </c>
      <c r="J89" s="30">
        <v>0.42916666666666664</v>
      </c>
    </row>
    <row r="90" spans="1:12" ht="75.599999999999994" x14ac:dyDescent="0.2">
      <c r="A90" s="22">
        <v>45758</v>
      </c>
      <c r="B90" s="22" t="s">
        <v>50</v>
      </c>
      <c r="C90" s="27" t="s">
        <v>14</v>
      </c>
      <c r="D90" s="27" t="s">
        <v>15</v>
      </c>
      <c r="E90" s="27" t="s">
        <v>19</v>
      </c>
      <c r="F90" s="27" t="s">
        <v>17</v>
      </c>
      <c r="G90" s="28" t="s">
        <v>89</v>
      </c>
      <c r="H90" s="29">
        <f t="shared" si="1"/>
        <v>2.9166666666666674E-2</v>
      </c>
      <c r="I90" s="30">
        <v>0.42916666666666664</v>
      </c>
      <c r="J90" s="30">
        <v>0.45833333333333331</v>
      </c>
    </row>
    <row r="91" spans="1:12" ht="37.799999999999997" x14ac:dyDescent="0.2">
      <c r="A91" s="22">
        <v>45758</v>
      </c>
      <c r="B91" s="22" t="s">
        <v>50</v>
      </c>
      <c r="C91" s="27" t="s">
        <v>14</v>
      </c>
      <c r="D91" s="27" t="s">
        <v>15</v>
      </c>
      <c r="E91" s="27" t="s">
        <v>16</v>
      </c>
      <c r="F91" s="27" t="s">
        <v>17</v>
      </c>
      <c r="G91" s="28" t="s">
        <v>35</v>
      </c>
      <c r="H91" s="29">
        <f t="shared" si="1"/>
        <v>4.5833333333333337E-2</v>
      </c>
      <c r="I91" s="30">
        <v>0.45833333333333331</v>
      </c>
      <c r="J91" s="30">
        <v>0.50416666666666665</v>
      </c>
    </row>
    <row r="92" spans="1:12" x14ac:dyDescent="0.2">
      <c r="A92" s="22">
        <v>45758</v>
      </c>
      <c r="B92" s="22" t="s">
        <v>50</v>
      </c>
      <c r="C92" s="27" t="s">
        <v>14</v>
      </c>
      <c r="D92" s="27" t="s">
        <v>15</v>
      </c>
      <c r="E92" s="27" t="s">
        <v>25</v>
      </c>
      <c r="F92" s="27" t="s">
        <v>17</v>
      </c>
      <c r="G92" s="28" t="s">
        <v>91</v>
      </c>
      <c r="H92" s="29">
        <f t="shared" si="1"/>
        <v>4.166666666666663E-2</v>
      </c>
      <c r="I92" s="30">
        <v>0.50416666666666665</v>
      </c>
      <c r="J92" s="30">
        <v>0.54583333333333328</v>
      </c>
    </row>
    <row r="93" spans="1:12" ht="100.8" x14ac:dyDescent="0.2">
      <c r="A93" s="22">
        <v>45758</v>
      </c>
      <c r="B93" s="22" t="s">
        <v>50</v>
      </c>
      <c r="C93" s="27" t="s">
        <v>14</v>
      </c>
      <c r="D93" s="27" t="s">
        <v>15</v>
      </c>
      <c r="E93" s="27" t="s">
        <v>19</v>
      </c>
      <c r="F93" s="27" t="s">
        <v>17</v>
      </c>
      <c r="G93" s="28" t="s">
        <v>92</v>
      </c>
      <c r="H93" s="29">
        <f t="shared" si="1"/>
        <v>0.125</v>
      </c>
      <c r="I93" s="30">
        <v>0.54166666666666663</v>
      </c>
      <c r="J93" s="30">
        <v>0.66666666666666663</v>
      </c>
    </row>
    <row r="94" spans="1:12" ht="50.4" x14ac:dyDescent="0.2">
      <c r="A94" s="22">
        <v>45758</v>
      </c>
      <c r="B94" s="22" t="s">
        <v>50</v>
      </c>
      <c r="C94" s="27" t="s">
        <v>14</v>
      </c>
      <c r="D94" s="27" t="s">
        <v>15</v>
      </c>
      <c r="E94" s="27" t="s">
        <v>16</v>
      </c>
      <c r="F94" s="27" t="s">
        <v>17</v>
      </c>
      <c r="G94" s="28" t="s">
        <v>93</v>
      </c>
      <c r="H94" s="29">
        <f t="shared" si="1"/>
        <v>5.4861111111111138E-2</v>
      </c>
      <c r="I94" s="30">
        <v>0.66666666666666663</v>
      </c>
      <c r="J94" s="30">
        <v>0.72152777777777777</v>
      </c>
      <c r="L94" s="66"/>
    </row>
    <row r="95" spans="1:12" x14ac:dyDescent="0.2">
      <c r="A95" s="31">
        <v>45759</v>
      </c>
      <c r="B95" s="31" t="s">
        <v>58</v>
      </c>
      <c r="C95" s="32"/>
      <c r="D95" s="32"/>
      <c r="E95" s="32"/>
      <c r="F95" s="32"/>
      <c r="G95" s="33"/>
      <c r="H95" s="34">
        <f t="shared" si="1"/>
        <v>0</v>
      </c>
      <c r="I95" s="35"/>
      <c r="J95" s="35"/>
    </row>
    <row r="96" spans="1:12" x14ac:dyDescent="0.2">
      <c r="A96" s="31">
        <v>45760</v>
      </c>
      <c r="B96" s="31" t="s">
        <v>59</v>
      </c>
      <c r="C96" s="32"/>
      <c r="D96" s="32"/>
      <c r="E96" s="32"/>
      <c r="F96" s="32"/>
      <c r="G96" s="33"/>
      <c r="H96" s="34">
        <f t="shared" si="1"/>
        <v>0</v>
      </c>
      <c r="I96" s="35"/>
      <c r="J96" s="35"/>
    </row>
    <row r="97" spans="1:12" ht="63" x14ac:dyDescent="0.2">
      <c r="A97" s="22">
        <v>45761</v>
      </c>
      <c r="B97" s="22" t="s">
        <v>60</v>
      </c>
      <c r="C97" s="27" t="s">
        <v>14</v>
      </c>
      <c r="D97" s="27" t="s">
        <v>15</v>
      </c>
      <c r="E97" s="27" t="s">
        <v>16</v>
      </c>
      <c r="F97" s="27" t="s">
        <v>17</v>
      </c>
      <c r="G97" s="28" t="s">
        <v>94</v>
      </c>
      <c r="H97" s="29">
        <f t="shared" si="1"/>
        <v>4.9305555555555547E-2</v>
      </c>
      <c r="I97" s="30">
        <v>0.32569444444444445</v>
      </c>
      <c r="J97" s="30">
        <v>0.375</v>
      </c>
    </row>
    <row r="98" spans="1:12" ht="37.799999999999997" x14ac:dyDescent="0.2">
      <c r="A98" s="22">
        <v>45761</v>
      </c>
      <c r="B98" s="22" t="s">
        <v>60</v>
      </c>
      <c r="C98" s="27" t="s">
        <v>14</v>
      </c>
      <c r="D98" s="27" t="s">
        <v>15</v>
      </c>
      <c r="E98" s="27" t="s">
        <v>36</v>
      </c>
      <c r="F98" s="27" t="s">
        <v>17</v>
      </c>
      <c r="G98" s="28" t="s">
        <v>95</v>
      </c>
      <c r="H98" s="29">
        <f t="shared" si="1"/>
        <v>2.0833333333333315E-2</v>
      </c>
      <c r="I98" s="30">
        <v>0.375</v>
      </c>
      <c r="J98" s="30">
        <v>0.39583333333333331</v>
      </c>
    </row>
    <row r="99" spans="1:12" ht="37.799999999999997" x14ac:dyDescent="0.2">
      <c r="A99" s="22">
        <v>45761</v>
      </c>
      <c r="B99" s="22" t="s">
        <v>60</v>
      </c>
      <c r="C99" s="27" t="s">
        <v>14</v>
      </c>
      <c r="D99" s="27" t="s">
        <v>15</v>
      </c>
      <c r="E99" s="27" t="s">
        <v>16</v>
      </c>
      <c r="F99" s="27" t="s">
        <v>17</v>
      </c>
      <c r="G99" s="28" t="s">
        <v>96</v>
      </c>
      <c r="H99" s="29">
        <f t="shared" si="1"/>
        <v>2.8472222222222232E-2</v>
      </c>
      <c r="I99" s="30">
        <v>0.39583333333333331</v>
      </c>
      <c r="J99" s="30">
        <v>0.42430555555555555</v>
      </c>
    </row>
    <row r="100" spans="1:12" ht="25.2" x14ac:dyDescent="0.2">
      <c r="A100" s="22">
        <v>45761</v>
      </c>
      <c r="B100" s="22" t="s">
        <v>60</v>
      </c>
      <c r="C100" s="27" t="s">
        <v>14</v>
      </c>
      <c r="D100" s="27" t="s">
        <v>15</v>
      </c>
      <c r="E100" s="27" t="s">
        <v>16</v>
      </c>
      <c r="F100" s="27" t="s">
        <v>17</v>
      </c>
      <c r="G100" s="28" t="s">
        <v>97</v>
      </c>
      <c r="H100" s="29">
        <f t="shared" si="1"/>
        <v>7.6388888888889173E-3</v>
      </c>
      <c r="I100" s="30">
        <v>0.42430555555555555</v>
      </c>
      <c r="J100" s="30">
        <v>0.43194444444444446</v>
      </c>
    </row>
    <row r="101" spans="1:12" ht="100.8" x14ac:dyDescent="0.2">
      <c r="A101" s="22">
        <v>45761</v>
      </c>
      <c r="B101" s="22" t="s">
        <v>60</v>
      </c>
      <c r="C101" s="27" t="s">
        <v>14</v>
      </c>
      <c r="D101" s="27" t="s">
        <v>15</v>
      </c>
      <c r="E101" s="27" t="s">
        <v>19</v>
      </c>
      <c r="F101" s="27" t="s">
        <v>17</v>
      </c>
      <c r="G101" s="28" t="s">
        <v>98</v>
      </c>
      <c r="H101" s="29">
        <f t="shared" si="1"/>
        <v>6.8749999999999978E-2</v>
      </c>
      <c r="I101" s="30">
        <v>0.43194444444444446</v>
      </c>
      <c r="J101" s="30">
        <v>0.50069444444444444</v>
      </c>
    </row>
    <row r="102" spans="1:12" x14ac:dyDescent="0.2">
      <c r="A102" s="22">
        <v>45761</v>
      </c>
      <c r="B102" s="22" t="s">
        <v>60</v>
      </c>
      <c r="C102" s="27" t="s">
        <v>14</v>
      </c>
      <c r="D102" s="27" t="s">
        <v>15</v>
      </c>
      <c r="E102" s="27" t="s">
        <v>25</v>
      </c>
      <c r="F102" s="27" t="s">
        <v>17</v>
      </c>
      <c r="G102" s="28" t="s">
        <v>99</v>
      </c>
      <c r="H102" s="29">
        <f t="shared" si="1"/>
        <v>4.0277777777777746E-2</v>
      </c>
      <c r="I102" s="30">
        <v>0.50069444444444444</v>
      </c>
      <c r="J102" s="30">
        <v>0.54097222222222219</v>
      </c>
    </row>
    <row r="103" spans="1:12" ht="25.2" x14ac:dyDescent="0.2">
      <c r="A103" s="22">
        <v>45761</v>
      </c>
      <c r="B103" s="22" t="s">
        <v>60</v>
      </c>
      <c r="C103" s="27" t="s">
        <v>14</v>
      </c>
      <c r="D103" s="27" t="s">
        <v>15</v>
      </c>
      <c r="E103" s="27" t="s">
        <v>16</v>
      </c>
      <c r="F103" s="27" t="s">
        <v>17</v>
      </c>
      <c r="G103" s="28" t="s">
        <v>100</v>
      </c>
      <c r="H103" s="29">
        <f t="shared" si="1"/>
        <v>1.8750000000000044E-2</v>
      </c>
      <c r="I103" s="30">
        <v>0.54097222222222219</v>
      </c>
      <c r="J103" s="30">
        <v>0.55972222222222223</v>
      </c>
    </row>
    <row r="104" spans="1:12" ht="100.8" x14ac:dyDescent="0.2">
      <c r="A104" s="22">
        <v>45761</v>
      </c>
      <c r="B104" s="22" t="s">
        <v>60</v>
      </c>
      <c r="C104" s="27" t="s">
        <v>14</v>
      </c>
      <c r="D104" s="27" t="s">
        <v>15</v>
      </c>
      <c r="E104" s="27" t="s">
        <v>19</v>
      </c>
      <c r="F104" s="27" t="s">
        <v>17</v>
      </c>
      <c r="G104" s="28" t="s">
        <v>98</v>
      </c>
      <c r="H104" s="29">
        <f t="shared" si="1"/>
        <v>7.5694444444444398E-2</v>
      </c>
      <c r="I104" s="30">
        <v>0.55972222222222223</v>
      </c>
      <c r="J104" s="118">
        <v>0.63541666666666663</v>
      </c>
    </row>
    <row r="105" spans="1:12" ht="28.95" customHeight="1" x14ac:dyDescent="0.2">
      <c r="A105" s="22">
        <v>45761</v>
      </c>
      <c r="B105" s="22" t="s">
        <v>60</v>
      </c>
      <c r="C105" s="27" t="s">
        <v>14</v>
      </c>
      <c r="D105" s="27" t="s">
        <v>15</v>
      </c>
      <c r="E105" s="27" t="s">
        <v>16</v>
      </c>
      <c r="F105" s="27" t="s">
        <v>17</v>
      </c>
      <c r="G105" s="28" t="s">
        <v>101</v>
      </c>
      <c r="H105" s="29">
        <f t="shared" si="1"/>
        <v>1.3888888888888951E-2</v>
      </c>
      <c r="I105" s="30">
        <v>0.63541666666666663</v>
      </c>
      <c r="J105" s="30">
        <v>0.64930555555555558</v>
      </c>
    </row>
    <row r="106" spans="1:12" ht="89.4" customHeight="1" x14ac:dyDescent="0.2">
      <c r="A106" s="22">
        <v>45761</v>
      </c>
      <c r="B106" s="22" t="s">
        <v>60</v>
      </c>
      <c r="C106" s="27" t="s">
        <v>14</v>
      </c>
      <c r="D106" s="27" t="s">
        <v>15</v>
      </c>
      <c r="E106" s="27" t="s">
        <v>19</v>
      </c>
      <c r="F106" s="27" t="s">
        <v>17</v>
      </c>
      <c r="G106" s="28" t="s">
        <v>98</v>
      </c>
      <c r="H106" s="29">
        <f t="shared" si="1"/>
        <v>1.7361111111111049E-2</v>
      </c>
      <c r="I106" s="30">
        <v>0.64930555555555558</v>
      </c>
      <c r="J106" s="30">
        <v>0.66666666666666663</v>
      </c>
    </row>
    <row r="107" spans="1:12" ht="55.95" customHeight="1" x14ac:dyDescent="0.2">
      <c r="A107" s="22">
        <v>45761</v>
      </c>
      <c r="B107" s="22" t="s">
        <v>60</v>
      </c>
      <c r="C107" s="27" t="s">
        <v>14</v>
      </c>
      <c r="D107" s="27" t="s">
        <v>15</v>
      </c>
      <c r="E107" s="27" t="s">
        <v>16</v>
      </c>
      <c r="F107" s="27" t="s">
        <v>17</v>
      </c>
      <c r="G107" s="40" t="s">
        <v>102</v>
      </c>
      <c r="H107" s="29">
        <f t="shared" si="1"/>
        <v>6.8055555555555647E-2</v>
      </c>
      <c r="I107" s="30">
        <v>0.66666666666666663</v>
      </c>
      <c r="J107" s="30">
        <v>0.73472222222222228</v>
      </c>
    </row>
    <row r="108" spans="1:12" ht="65.400000000000006" customHeight="1" x14ac:dyDescent="0.2">
      <c r="A108" s="22">
        <v>45762</v>
      </c>
      <c r="B108" s="22" t="s">
        <v>13</v>
      </c>
      <c r="C108" s="27" t="s">
        <v>14</v>
      </c>
      <c r="D108" s="27" t="s">
        <v>15</v>
      </c>
      <c r="E108" s="27" t="s">
        <v>16</v>
      </c>
      <c r="F108" s="27" t="s">
        <v>17</v>
      </c>
      <c r="G108" s="28" t="s">
        <v>94</v>
      </c>
      <c r="H108" s="29">
        <f t="shared" si="1"/>
        <v>3.7499999999999978E-2</v>
      </c>
      <c r="I108" s="30">
        <v>0.32569444444444445</v>
      </c>
      <c r="J108" s="30">
        <v>0.36319444444444443</v>
      </c>
      <c r="L108" s="66"/>
    </row>
    <row r="109" spans="1:12" ht="100.8" x14ac:dyDescent="0.2">
      <c r="A109" s="22">
        <v>45762</v>
      </c>
      <c r="B109" s="22" t="s">
        <v>13</v>
      </c>
      <c r="C109" s="27" t="s">
        <v>14</v>
      </c>
      <c r="D109" s="27" t="s">
        <v>15</v>
      </c>
      <c r="E109" s="27" t="s">
        <v>19</v>
      </c>
      <c r="F109" s="27" t="s">
        <v>17</v>
      </c>
      <c r="G109" s="28" t="s">
        <v>98</v>
      </c>
      <c r="H109" s="29">
        <f t="shared" ref="H109:H120" si="2">J109-I109</f>
        <v>8.4722222222222254E-2</v>
      </c>
      <c r="I109" s="30">
        <v>0.36319444444444443</v>
      </c>
      <c r="J109" s="30">
        <v>0.44791666666666669</v>
      </c>
    </row>
    <row r="110" spans="1:12" ht="25.2" x14ac:dyDescent="0.2">
      <c r="A110" s="22">
        <v>45762</v>
      </c>
      <c r="B110" s="22" t="s">
        <v>13</v>
      </c>
      <c r="C110" s="27" t="s">
        <v>14</v>
      </c>
      <c r="D110" s="27" t="s">
        <v>15</v>
      </c>
      <c r="E110" s="27" t="s">
        <v>16</v>
      </c>
      <c r="F110" s="27" t="s">
        <v>17</v>
      </c>
      <c r="G110" s="28" t="s">
        <v>103</v>
      </c>
      <c r="H110" s="29">
        <f t="shared" si="2"/>
        <v>1.5277777777777779E-2</v>
      </c>
      <c r="I110" s="30">
        <v>0.41666666666666669</v>
      </c>
      <c r="J110" s="30">
        <v>0.43194444444444446</v>
      </c>
    </row>
    <row r="111" spans="1:12" ht="50.4" x14ac:dyDescent="0.2">
      <c r="A111" s="22">
        <v>45762</v>
      </c>
      <c r="B111" s="22" t="s">
        <v>13</v>
      </c>
      <c r="C111" s="27" t="s">
        <v>14</v>
      </c>
      <c r="D111" s="27" t="s">
        <v>15</v>
      </c>
      <c r="E111" s="27" t="s">
        <v>19</v>
      </c>
      <c r="F111" s="27" t="s">
        <v>17</v>
      </c>
      <c r="G111" s="28" t="s">
        <v>104</v>
      </c>
      <c r="H111" s="29">
        <f t="shared" si="2"/>
        <v>1.5972222222222221E-2</v>
      </c>
      <c r="I111" s="30">
        <v>0.43194444444444446</v>
      </c>
      <c r="J111" s="30">
        <v>0.44791666666666669</v>
      </c>
    </row>
    <row r="112" spans="1:12" ht="25.2" x14ac:dyDescent="0.2">
      <c r="A112" s="22">
        <v>45762</v>
      </c>
      <c r="B112" s="22" t="s">
        <v>13</v>
      </c>
      <c r="C112" s="27" t="s">
        <v>14</v>
      </c>
      <c r="D112" s="27" t="s">
        <v>15</v>
      </c>
      <c r="E112" s="27" t="s">
        <v>16</v>
      </c>
      <c r="F112" s="27" t="s">
        <v>17</v>
      </c>
      <c r="G112" s="28" t="s">
        <v>105</v>
      </c>
      <c r="H112" s="29">
        <f t="shared" si="2"/>
        <v>1.8055555555555547E-2</v>
      </c>
      <c r="I112" s="30">
        <v>0.44791666666666669</v>
      </c>
      <c r="J112" s="30">
        <v>0.46597222222222223</v>
      </c>
    </row>
    <row r="113" spans="1:12" ht="63" x14ac:dyDescent="0.2">
      <c r="A113" s="22">
        <v>45762</v>
      </c>
      <c r="B113" s="22" t="s">
        <v>13</v>
      </c>
      <c r="C113" s="27" t="s">
        <v>14</v>
      </c>
      <c r="D113" s="27" t="s">
        <v>15</v>
      </c>
      <c r="E113" s="27" t="s">
        <v>19</v>
      </c>
      <c r="F113" s="27" t="s">
        <v>17</v>
      </c>
      <c r="G113" s="28" t="s">
        <v>106</v>
      </c>
      <c r="H113" s="29">
        <f t="shared" si="2"/>
        <v>3.5416666666666652E-2</v>
      </c>
      <c r="I113" s="30">
        <v>0.46597222222222223</v>
      </c>
      <c r="J113" s="30">
        <v>0.50138888888888888</v>
      </c>
    </row>
    <row r="114" spans="1:12" x14ac:dyDescent="0.2">
      <c r="A114" s="22">
        <v>45762</v>
      </c>
      <c r="B114" s="22" t="s">
        <v>13</v>
      </c>
      <c r="C114" s="27" t="s">
        <v>14</v>
      </c>
      <c r="D114" s="27" t="s">
        <v>15</v>
      </c>
      <c r="E114" s="27" t="s">
        <v>25</v>
      </c>
      <c r="F114" s="27" t="s">
        <v>17</v>
      </c>
      <c r="G114" s="28" t="s">
        <v>84</v>
      </c>
      <c r="H114" s="29">
        <f t="shared" si="2"/>
        <v>4.0277777777777746E-2</v>
      </c>
      <c r="I114" s="30">
        <v>0.50138888888888888</v>
      </c>
      <c r="J114" s="30">
        <v>0.54166666666666663</v>
      </c>
    </row>
    <row r="115" spans="1:12" x14ac:dyDescent="0.2">
      <c r="A115" s="22">
        <v>45762</v>
      </c>
      <c r="B115" s="22" t="s">
        <v>13</v>
      </c>
      <c r="C115" s="27" t="s">
        <v>14</v>
      </c>
      <c r="D115" s="27" t="s">
        <v>15</v>
      </c>
      <c r="E115" s="27" t="s">
        <v>16</v>
      </c>
      <c r="F115" s="27" t="s">
        <v>17</v>
      </c>
      <c r="G115" s="28" t="s">
        <v>107</v>
      </c>
      <c r="H115" s="29">
        <f t="shared" si="2"/>
        <v>1.8055555555555602E-2</v>
      </c>
      <c r="I115" s="30">
        <v>0.54166666666666663</v>
      </c>
      <c r="J115" s="30">
        <v>0.55972222222222223</v>
      </c>
    </row>
    <row r="116" spans="1:12" ht="88.2" x14ac:dyDescent="0.2">
      <c r="A116" s="22">
        <v>45762</v>
      </c>
      <c r="B116" s="22" t="s">
        <v>13</v>
      </c>
      <c r="C116" s="27" t="s">
        <v>14</v>
      </c>
      <c r="D116" s="27" t="s">
        <v>15</v>
      </c>
      <c r="E116" s="27" t="s">
        <v>19</v>
      </c>
      <c r="F116" s="27" t="s">
        <v>17</v>
      </c>
      <c r="G116" s="28" t="s">
        <v>108</v>
      </c>
      <c r="H116" s="29">
        <f t="shared" si="2"/>
        <v>7.5694444444444398E-2</v>
      </c>
      <c r="I116" s="30">
        <v>0.55972222222222223</v>
      </c>
      <c r="J116" s="30">
        <v>0.63541666666666663</v>
      </c>
    </row>
    <row r="117" spans="1:12" ht="25.2" x14ac:dyDescent="0.2">
      <c r="A117" s="22">
        <v>45762</v>
      </c>
      <c r="B117" s="22" t="s">
        <v>13</v>
      </c>
      <c r="C117" s="27" t="s">
        <v>14</v>
      </c>
      <c r="D117" s="27" t="s">
        <v>15</v>
      </c>
      <c r="E117" s="27" t="s">
        <v>16</v>
      </c>
      <c r="F117" s="27" t="s">
        <v>17</v>
      </c>
      <c r="G117" s="28" t="s">
        <v>109</v>
      </c>
      <c r="H117" s="29">
        <f t="shared" si="2"/>
        <v>1.3888888888888951E-2</v>
      </c>
      <c r="I117" s="30">
        <v>0.63541666666666663</v>
      </c>
      <c r="J117" s="30">
        <v>0.64930555555555558</v>
      </c>
    </row>
    <row r="118" spans="1:12" ht="50.4" x14ac:dyDescent="0.2">
      <c r="A118" s="22">
        <v>45762</v>
      </c>
      <c r="B118" s="22" t="s">
        <v>13</v>
      </c>
      <c r="C118" s="27" t="s">
        <v>14</v>
      </c>
      <c r="D118" s="27" t="s">
        <v>15</v>
      </c>
      <c r="E118" s="27" t="s">
        <v>36</v>
      </c>
      <c r="F118" s="27" t="s">
        <v>17</v>
      </c>
      <c r="G118" s="28" t="s">
        <v>110</v>
      </c>
      <c r="H118" s="29">
        <f t="shared" si="2"/>
        <v>1.7361111111111049E-2</v>
      </c>
      <c r="I118" s="30">
        <v>0.64930555555555558</v>
      </c>
      <c r="J118" s="30">
        <v>0.66666666666666663</v>
      </c>
    </row>
    <row r="119" spans="1:12" ht="63" x14ac:dyDescent="0.2">
      <c r="A119" s="22">
        <v>45762</v>
      </c>
      <c r="B119" s="22" t="s">
        <v>13</v>
      </c>
      <c r="C119" s="27" t="s">
        <v>14</v>
      </c>
      <c r="D119" s="27" t="s">
        <v>15</v>
      </c>
      <c r="E119" s="27" t="s">
        <v>16</v>
      </c>
      <c r="F119" s="27" t="s">
        <v>17</v>
      </c>
      <c r="G119" s="28" t="s">
        <v>111</v>
      </c>
      <c r="H119" s="29">
        <f t="shared" si="2"/>
        <v>6.7361111111111094E-2</v>
      </c>
      <c r="I119" s="30">
        <v>0.66666666666666663</v>
      </c>
      <c r="J119" s="30">
        <v>0.73402777777777772</v>
      </c>
    </row>
    <row r="120" spans="1:12" ht="25.2" x14ac:dyDescent="0.2">
      <c r="A120" s="22">
        <v>45762</v>
      </c>
      <c r="B120" s="22" t="s">
        <v>13</v>
      </c>
      <c r="C120" s="27" t="s">
        <v>14</v>
      </c>
      <c r="D120" s="27" t="s">
        <v>15</v>
      </c>
      <c r="E120" s="27" t="s">
        <v>16</v>
      </c>
      <c r="F120" s="27" t="s">
        <v>17</v>
      </c>
      <c r="G120" s="28" t="s">
        <v>112</v>
      </c>
      <c r="H120" s="29">
        <f t="shared" si="2"/>
        <v>3.6111111111111205E-2</v>
      </c>
      <c r="I120" s="30">
        <v>0.73402777777777772</v>
      </c>
      <c r="J120" s="30">
        <v>0.77013888888888893</v>
      </c>
      <c r="L120" s="66"/>
    </row>
    <row r="121" spans="1:12" ht="72.599999999999994" customHeight="1" x14ac:dyDescent="0.2">
      <c r="A121" s="22">
        <v>45763</v>
      </c>
      <c r="B121" s="22" t="s">
        <v>30</v>
      </c>
      <c r="C121" s="27" t="s">
        <v>14</v>
      </c>
      <c r="D121" s="27" t="s">
        <v>15</v>
      </c>
      <c r="E121" s="27" t="s">
        <v>16</v>
      </c>
      <c r="F121" s="27" t="s">
        <v>17</v>
      </c>
      <c r="G121" s="28" t="s">
        <v>94</v>
      </c>
      <c r="H121" s="29">
        <f t="shared" si="1"/>
        <v>1.2500000000000011E-2</v>
      </c>
      <c r="I121" s="30">
        <v>0.32569444444444445</v>
      </c>
      <c r="J121" s="30">
        <v>0.33819444444444446</v>
      </c>
    </row>
    <row r="122" spans="1:12" ht="50.4" x14ac:dyDescent="0.2">
      <c r="A122" s="22">
        <v>45763</v>
      </c>
      <c r="B122" s="22" t="s">
        <v>30</v>
      </c>
      <c r="C122" s="27" t="s">
        <v>14</v>
      </c>
      <c r="D122" s="27" t="s">
        <v>15</v>
      </c>
      <c r="E122" s="27" t="s">
        <v>19</v>
      </c>
      <c r="F122" s="27" t="s">
        <v>17</v>
      </c>
      <c r="G122" s="28" t="s">
        <v>113</v>
      </c>
      <c r="H122" s="29">
        <f t="shared" si="1"/>
        <v>7.1527777777777746E-2</v>
      </c>
      <c r="I122" s="30">
        <v>0.33819444444444446</v>
      </c>
      <c r="J122" s="30">
        <v>0.40972222222222221</v>
      </c>
    </row>
    <row r="123" spans="1:12" ht="25.2" x14ac:dyDescent="0.2">
      <c r="A123" s="22">
        <v>45763</v>
      </c>
      <c r="B123" s="22" t="s">
        <v>30</v>
      </c>
      <c r="C123" s="27" t="s">
        <v>14</v>
      </c>
      <c r="D123" s="27" t="s">
        <v>15</v>
      </c>
      <c r="E123" s="27" t="s">
        <v>16</v>
      </c>
      <c r="F123" s="27" t="s">
        <v>17</v>
      </c>
      <c r="G123" s="28" t="s">
        <v>103</v>
      </c>
      <c r="H123" s="29">
        <f t="shared" si="1"/>
        <v>6.9444444444444753E-3</v>
      </c>
      <c r="I123" s="30">
        <v>0.40972222222222221</v>
      </c>
      <c r="J123" s="30">
        <v>0.41666666666666669</v>
      </c>
    </row>
    <row r="124" spans="1:12" ht="25.2" x14ac:dyDescent="0.2">
      <c r="A124" s="22">
        <v>45763</v>
      </c>
      <c r="B124" s="22" t="s">
        <v>30</v>
      </c>
      <c r="C124" s="27" t="s">
        <v>14</v>
      </c>
      <c r="D124" s="27" t="s">
        <v>15</v>
      </c>
      <c r="E124" s="27" t="s">
        <v>16</v>
      </c>
      <c r="F124" s="27" t="s">
        <v>17</v>
      </c>
      <c r="G124" s="28" t="s">
        <v>109</v>
      </c>
      <c r="H124" s="29">
        <f t="shared" si="1"/>
        <v>2.0833333333333315E-2</v>
      </c>
      <c r="I124" s="30">
        <v>0.41666666666666669</v>
      </c>
      <c r="J124" s="30">
        <v>0.4375</v>
      </c>
    </row>
    <row r="125" spans="1:12" ht="37.799999999999997" x14ac:dyDescent="0.2">
      <c r="A125" s="22">
        <v>45763</v>
      </c>
      <c r="B125" s="22" t="s">
        <v>30</v>
      </c>
      <c r="C125" s="27" t="s">
        <v>14</v>
      </c>
      <c r="D125" s="27" t="s">
        <v>15</v>
      </c>
      <c r="E125" s="27" t="s">
        <v>16</v>
      </c>
      <c r="F125" s="27" t="s">
        <v>17</v>
      </c>
      <c r="G125" s="28" t="s">
        <v>114</v>
      </c>
      <c r="H125" s="29">
        <f t="shared" si="1"/>
        <v>2.430555555555558E-2</v>
      </c>
      <c r="I125" s="30">
        <v>0.4375</v>
      </c>
      <c r="J125" s="30">
        <v>0.46180555555555558</v>
      </c>
    </row>
    <row r="126" spans="1:12" ht="50.4" x14ac:dyDescent="0.2">
      <c r="A126" s="22">
        <v>45763</v>
      </c>
      <c r="B126" s="22" t="s">
        <v>30</v>
      </c>
      <c r="C126" s="27" t="s">
        <v>14</v>
      </c>
      <c r="D126" s="27" t="s">
        <v>15</v>
      </c>
      <c r="E126" s="27" t="s">
        <v>19</v>
      </c>
      <c r="F126" s="27" t="s">
        <v>17</v>
      </c>
      <c r="G126" s="28" t="s">
        <v>113</v>
      </c>
      <c r="H126" s="29">
        <f t="shared" si="1"/>
        <v>1.7361111111111105E-2</v>
      </c>
      <c r="I126" s="30">
        <v>0.46180555555555558</v>
      </c>
      <c r="J126" s="30">
        <v>0.47916666666666669</v>
      </c>
    </row>
    <row r="127" spans="1:12" ht="25.2" x14ac:dyDescent="0.2">
      <c r="A127" s="22">
        <v>45763</v>
      </c>
      <c r="B127" s="22" t="s">
        <v>30</v>
      </c>
      <c r="C127" s="27" t="s">
        <v>14</v>
      </c>
      <c r="D127" s="27" t="s">
        <v>15</v>
      </c>
      <c r="E127" s="27" t="s">
        <v>16</v>
      </c>
      <c r="F127" s="27" t="s">
        <v>17</v>
      </c>
      <c r="G127" s="28" t="s">
        <v>100</v>
      </c>
      <c r="H127" s="29">
        <f t="shared" si="1"/>
        <v>2.1527777777777757E-2</v>
      </c>
      <c r="I127" s="30">
        <v>0.47916666666666669</v>
      </c>
      <c r="J127" s="30">
        <v>0.50069444444444444</v>
      </c>
    </row>
    <row r="128" spans="1:12" x14ac:dyDescent="0.2">
      <c r="A128" s="22">
        <v>45763</v>
      </c>
      <c r="B128" s="22" t="s">
        <v>30</v>
      </c>
      <c r="C128" s="27" t="s">
        <v>14</v>
      </c>
      <c r="D128" s="27" t="s">
        <v>15</v>
      </c>
      <c r="E128" s="27" t="s">
        <v>25</v>
      </c>
      <c r="F128" s="27" t="s">
        <v>17</v>
      </c>
      <c r="G128" s="28" t="s">
        <v>99</v>
      </c>
      <c r="H128" s="29">
        <f t="shared" si="1"/>
        <v>4.0972222222222188E-2</v>
      </c>
      <c r="I128" s="30">
        <v>0.50069444444444444</v>
      </c>
      <c r="J128" s="30">
        <v>0.54166666666666663</v>
      </c>
    </row>
    <row r="129" spans="1:12" ht="25.2" x14ac:dyDescent="0.2">
      <c r="A129" s="22">
        <v>45763</v>
      </c>
      <c r="B129" s="22" t="s">
        <v>30</v>
      </c>
      <c r="C129" s="27" t="s">
        <v>14</v>
      </c>
      <c r="D129" s="27" t="s">
        <v>15</v>
      </c>
      <c r="E129" s="27" t="s">
        <v>115</v>
      </c>
      <c r="F129" s="27" t="s">
        <v>17</v>
      </c>
      <c r="G129" s="28" t="s">
        <v>116</v>
      </c>
      <c r="H129" s="29">
        <f t="shared" si="1"/>
        <v>2.083333333333337E-2</v>
      </c>
      <c r="I129" s="30">
        <v>0.54166666666666663</v>
      </c>
      <c r="J129" s="30">
        <v>0.5625</v>
      </c>
    </row>
    <row r="130" spans="1:12" ht="25.2" x14ac:dyDescent="0.2">
      <c r="A130" s="22">
        <v>45763</v>
      </c>
      <c r="B130" s="22" t="s">
        <v>30</v>
      </c>
      <c r="C130" s="27" t="s">
        <v>14</v>
      </c>
      <c r="D130" s="27" t="s">
        <v>15</v>
      </c>
      <c r="E130" s="27" t="s">
        <v>16</v>
      </c>
      <c r="F130" s="27" t="s">
        <v>17</v>
      </c>
      <c r="G130" s="28" t="s">
        <v>109</v>
      </c>
      <c r="H130" s="29">
        <f t="shared" si="1"/>
        <v>2.083333333333337E-2</v>
      </c>
      <c r="I130" s="30">
        <v>0.5625</v>
      </c>
      <c r="J130" s="30">
        <v>0.58333333333333337</v>
      </c>
    </row>
    <row r="131" spans="1:12" ht="50.4" x14ac:dyDescent="0.2">
      <c r="A131" s="22">
        <v>45763</v>
      </c>
      <c r="B131" s="22" t="s">
        <v>30</v>
      </c>
      <c r="C131" s="27" t="s">
        <v>14</v>
      </c>
      <c r="D131" s="27" t="s">
        <v>15</v>
      </c>
      <c r="E131" s="27" t="s">
        <v>19</v>
      </c>
      <c r="F131" s="27" t="s">
        <v>17</v>
      </c>
      <c r="G131" s="28" t="s">
        <v>113</v>
      </c>
      <c r="H131" s="29">
        <f t="shared" si="1"/>
        <v>8.3333333333333259E-2</v>
      </c>
      <c r="I131" s="30">
        <v>0.58333333333333337</v>
      </c>
      <c r="J131" s="30">
        <v>0.66666666666666663</v>
      </c>
    </row>
    <row r="132" spans="1:12" ht="75.599999999999994" x14ac:dyDescent="0.2">
      <c r="A132" s="22">
        <v>45763</v>
      </c>
      <c r="B132" s="22" t="s">
        <v>30</v>
      </c>
      <c r="C132" s="27" t="s">
        <v>14</v>
      </c>
      <c r="D132" s="27" t="s">
        <v>15</v>
      </c>
      <c r="E132" s="27" t="s">
        <v>16</v>
      </c>
      <c r="F132" s="27" t="s">
        <v>17</v>
      </c>
      <c r="G132" s="28" t="s">
        <v>117</v>
      </c>
      <c r="H132" s="29">
        <f t="shared" si="1"/>
        <v>6.25E-2</v>
      </c>
      <c r="I132" s="30">
        <v>0.66666666666666663</v>
      </c>
      <c r="J132" s="30">
        <v>0.72916666666666663</v>
      </c>
    </row>
    <row r="133" spans="1:12" ht="65.400000000000006" customHeight="1" x14ac:dyDescent="0.2">
      <c r="A133" s="22">
        <v>45764</v>
      </c>
      <c r="B133" s="22" t="s">
        <v>41</v>
      </c>
      <c r="C133" s="27" t="s">
        <v>14</v>
      </c>
      <c r="D133" s="27" t="s">
        <v>15</v>
      </c>
      <c r="E133" s="27" t="s">
        <v>16</v>
      </c>
      <c r="F133" s="27" t="s">
        <v>17</v>
      </c>
      <c r="G133" s="28" t="s">
        <v>94</v>
      </c>
      <c r="H133" s="29">
        <f t="shared" si="1"/>
        <v>2.2916666666666641E-2</v>
      </c>
      <c r="I133" s="30">
        <v>0.32569444444444445</v>
      </c>
      <c r="J133" s="30">
        <v>0.34861111111111109</v>
      </c>
      <c r="L133" s="66"/>
    </row>
    <row r="134" spans="1:12" ht="50.4" x14ac:dyDescent="0.2">
      <c r="A134" s="22">
        <v>45764</v>
      </c>
      <c r="B134" s="22" t="s">
        <v>41</v>
      </c>
      <c r="C134" s="27" t="s">
        <v>14</v>
      </c>
      <c r="D134" s="27" t="s">
        <v>15</v>
      </c>
      <c r="E134" s="27" t="s">
        <v>19</v>
      </c>
      <c r="F134" s="27" t="s">
        <v>17</v>
      </c>
      <c r="G134" s="28" t="s">
        <v>118</v>
      </c>
      <c r="H134" s="29">
        <f t="shared" ref="H134:H141" si="3">J134-I134</f>
        <v>2.6388888888888906E-2</v>
      </c>
      <c r="I134" s="30">
        <v>0.34861111111111109</v>
      </c>
      <c r="J134" s="30">
        <v>0.375</v>
      </c>
    </row>
    <row r="135" spans="1:12" ht="25.2" x14ac:dyDescent="0.2">
      <c r="A135" s="22">
        <v>45764</v>
      </c>
      <c r="B135" s="22" t="s">
        <v>41</v>
      </c>
      <c r="C135" s="27" t="s">
        <v>14</v>
      </c>
      <c r="D135" s="27" t="s">
        <v>15</v>
      </c>
      <c r="E135" s="27" t="s">
        <v>16</v>
      </c>
      <c r="F135" s="27" t="s">
        <v>17</v>
      </c>
      <c r="G135" s="28" t="s">
        <v>109</v>
      </c>
      <c r="H135" s="29">
        <f t="shared" si="3"/>
        <v>6.25E-2</v>
      </c>
      <c r="I135" s="30">
        <v>0.375</v>
      </c>
      <c r="J135" s="30">
        <v>0.4375</v>
      </c>
    </row>
    <row r="136" spans="1:12" ht="75.599999999999994" x14ac:dyDescent="0.2">
      <c r="A136" s="22">
        <v>45764</v>
      </c>
      <c r="B136" s="22" t="s">
        <v>41</v>
      </c>
      <c r="C136" s="27" t="s">
        <v>14</v>
      </c>
      <c r="D136" s="27" t="s">
        <v>15</v>
      </c>
      <c r="E136" s="27" t="s">
        <v>19</v>
      </c>
      <c r="F136" s="27" t="s">
        <v>17</v>
      </c>
      <c r="G136" s="28" t="s">
        <v>119</v>
      </c>
      <c r="H136" s="29">
        <f t="shared" si="3"/>
        <v>5.555555555555558E-2</v>
      </c>
      <c r="I136" s="30">
        <v>0.4375</v>
      </c>
      <c r="J136" s="30">
        <v>0.49305555555555558</v>
      </c>
    </row>
    <row r="137" spans="1:12" ht="25.2" x14ac:dyDescent="0.2">
      <c r="A137" s="22">
        <v>45764</v>
      </c>
      <c r="B137" s="22" t="s">
        <v>41</v>
      </c>
      <c r="C137" s="27" t="s">
        <v>14</v>
      </c>
      <c r="D137" s="27" t="s">
        <v>15</v>
      </c>
      <c r="E137" s="27" t="s">
        <v>16</v>
      </c>
      <c r="F137" s="27" t="s">
        <v>17</v>
      </c>
      <c r="G137" s="28" t="s">
        <v>103</v>
      </c>
      <c r="H137" s="29">
        <f t="shared" si="3"/>
        <v>7.6388888888888618E-3</v>
      </c>
      <c r="I137" s="30">
        <v>0.49305555555555558</v>
      </c>
      <c r="J137" s="30">
        <v>0.50069444444444444</v>
      </c>
    </row>
    <row r="138" spans="1:12" x14ac:dyDescent="0.2">
      <c r="A138" s="22">
        <v>45764</v>
      </c>
      <c r="B138" s="22" t="s">
        <v>41</v>
      </c>
      <c r="C138" s="27" t="s">
        <v>14</v>
      </c>
      <c r="D138" s="27" t="s">
        <v>15</v>
      </c>
      <c r="E138" s="27" t="s">
        <v>25</v>
      </c>
      <c r="F138" s="27" t="s">
        <v>17</v>
      </c>
      <c r="G138" s="28" t="s">
        <v>99</v>
      </c>
      <c r="H138" s="29">
        <f t="shared" si="3"/>
        <v>4.0972222222222188E-2</v>
      </c>
      <c r="I138" s="30">
        <v>0.50069444444444444</v>
      </c>
      <c r="J138" s="30">
        <v>0.54166666666666663</v>
      </c>
    </row>
    <row r="139" spans="1:12" ht="25.2" x14ac:dyDescent="0.2">
      <c r="A139" s="22">
        <v>45764</v>
      </c>
      <c r="B139" s="22" t="s">
        <v>41</v>
      </c>
      <c r="C139" s="27" t="s">
        <v>14</v>
      </c>
      <c r="D139" s="27" t="s">
        <v>15</v>
      </c>
      <c r="E139" s="27" t="s">
        <v>16</v>
      </c>
      <c r="F139" s="27" t="s">
        <v>17</v>
      </c>
      <c r="G139" s="28" t="s">
        <v>100</v>
      </c>
      <c r="H139" s="29">
        <f t="shared" si="3"/>
        <v>6.9444444444445308E-3</v>
      </c>
      <c r="I139" s="30">
        <v>0.54166666666666663</v>
      </c>
      <c r="J139" s="30">
        <v>0.54861111111111116</v>
      </c>
    </row>
    <row r="140" spans="1:12" ht="50.4" x14ac:dyDescent="0.2">
      <c r="A140" s="22">
        <v>45764</v>
      </c>
      <c r="B140" s="22" t="s">
        <v>41</v>
      </c>
      <c r="C140" s="27" t="s">
        <v>14</v>
      </c>
      <c r="D140" s="27" t="s">
        <v>15</v>
      </c>
      <c r="E140" s="27" t="s">
        <v>19</v>
      </c>
      <c r="F140" s="27" t="s">
        <v>17</v>
      </c>
      <c r="G140" s="28" t="s">
        <v>118</v>
      </c>
      <c r="H140" s="29">
        <f t="shared" si="3"/>
        <v>0.11805555555555547</v>
      </c>
      <c r="I140" s="30">
        <v>0.54861111111111116</v>
      </c>
      <c r="J140" s="30">
        <v>0.66666666666666663</v>
      </c>
    </row>
    <row r="141" spans="1:12" ht="50.4" x14ac:dyDescent="0.2">
      <c r="A141" s="22">
        <v>45764</v>
      </c>
      <c r="B141" s="22" t="s">
        <v>41</v>
      </c>
      <c r="C141" s="27" t="s">
        <v>14</v>
      </c>
      <c r="D141" s="27" t="s">
        <v>15</v>
      </c>
      <c r="E141" s="27" t="s">
        <v>16</v>
      </c>
      <c r="F141" s="27" t="s">
        <v>17</v>
      </c>
      <c r="G141" s="28" t="s">
        <v>120</v>
      </c>
      <c r="H141" s="29">
        <f t="shared" si="3"/>
        <v>2.5694444444444464E-2</v>
      </c>
      <c r="I141" s="30">
        <v>0.66666666666666663</v>
      </c>
      <c r="J141" s="30">
        <v>0.69236111111111109</v>
      </c>
      <c r="L141" s="66"/>
    </row>
    <row r="142" spans="1:12" x14ac:dyDescent="0.2">
      <c r="A142" s="47">
        <v>45765</v>
      </c>
      <c r="B142" s="47" t="s">
        <v>50</v>
      </c>
      <c r="C142" s="48" t="s">
        <v>14</v>
      </c>
      <c r="D142" s="48"/>
      <c r="E142" s="48" t="s">
        <v>121</v>
      </c>
      <c r="F142" s="48" t="s">
        <v>17</v>
      </c>
      <c r="G142" s="49" t="s">
        <v>122</v>
      </c>
      <c r="H142" s="50">
        <f t="shared" si="1"/>
        <v>0.33333333333333331</v>
      </c>
      <c r="I142" s="51">
        <v>0.33333333333333331</v>
      </c>
      <c r="J142" s="51">
        <v>0.66666666666666663</v>
      </c>
    </row>
    <row r="143" spans="1:12" x14ac:dyDescent="0.2">
      <c r="A143" s="31">
        <v>45766</v>
      </c>
      <c r="B143" s="31" t="s">
        <v>58</v>
      </c>
      <c r="C143" s="32"/>
      <c r="D143" s="32"/>
      <c r="E143" s="32"/>
      <c r="F143" s="32"/>
      <c r="G143" s="33"/>
      <c r="H143" s="34">
        <f t="shared" si="1"/>
        <v>0</v>
      </c>
      <c r="I143" s="35"/>
      <c r="J143" s="35"/>
    </row>
    <row r="144" spans="1:12" x14ac:dyDescent="0.2">
      <c r="A144" s="31">
        <v>45767</v>
      </c>
      <c r="B144" s="31" t="s">
        <v>59</v>
      </c>
      <c r="C144" s="32"/>
      <c r="D144" s="32"/>
      <c r="E144" s="32"/>
      <c r="F144" s="32"/>
      <c r="G144" s="33"/>
      <c r="H144" s="34">
        <f t="shared" si="1"/>
        <v>0</v>
      </c>
      <c r="I144" s="35"/>
      <c r="J144" s="35"/>
    </row>
    <row r="145" spans="1:12" x14ac:dyDescent="0.2">
      <c r="A145" s="47">
        <v>45768</v>
      </c>
      <c r="B145" s="47" t="s">
        <v>60</v>
      </c>
      <c r="C145" s="48" t="s">
        <v>14</v>
      </c>
      <c r="D145" s="48"/>
      <c r="E145" s="48" t="s">
        <v>121</v>
      </c>
      <c r="F145" s="48" t="s">
        <v>17</v>
      </c>
      <c r="G145" s="49" t="s">
        <v>123</v>
      </c>
      <c r="H145" s="50">
        <f t="shared" si="1"/>
        <v>0.33333333333333331</v>
      </c>
      <c r="I145" s="51">
        <v>0.33333333333333331</v>
      </c>
      <c r="J145" s="51">
        <v>0.66666666666666663</v>
      </c>
    </row>
    <row r="146" spans="1:12" ht="63" x14ac:dyDescent="0.2">
      <c r="A146" s="22">
        <v>45769</v>
      </c>
      <c r="B146" s="22" t="s">
        <v>13</v>
      </c>
      <c r="C146" s="27" t="s">
        <v>14</v>
      </c>
      <c r="D146" s="27" t="s">
        <v>15</v>
      </c>
      <c r="E146" s="27" t="s">
        <v>16</v>
      </c>
      <c r="F146" s="27" t="s">
        <v>17</v>
      </c>
      <c r="G146" s="28" t="s">
        <v>124</v>
      </c>
      <c r="H146" s="29">
        <f t="shared" si="1"/>
        <v>2.0138888888888873E-2</v>
      </c>
      <c r="I146" s="30">
        <v>0.3263888888888889</v>
      </c>
      <c r="J146" s="30">
        <v>0.34652777777777777</v>
      </c>
    </row>
    <row r="147" spans="1:12" ht="75.599999999999994" x14ac:dyDescent="0.2">
      <c r="A147" s="22">
        <v>45769</v>
      </c>
      <c r="B147" s="22" t="s">
        <v>13</v>
      </c>
      <c r="C147" s="27" t="s">
        <v>14</v>
      </c>
      <c r="D147" s="27" t="s">
        <v>15</v>
      </c>
      <c r="E147" s="27" t="s">
        <v>36</v>
      </c>
      <c r="F147" s="27" t="s">
        <v>17</v>
      </c>
      <c r="G147" s="28" t="s">
        <v>125</v>
      </c>
      <c r="H147" s="29">
        <f t="shared" si="1"/>
        <v>7.0138888888888917E-2</v>
      </c>
      <c r="I147" s="30">
        <v>0.34652777777777777</v>
      </c>
      <c r="J147" s="30">
        <v>0.41666666666666669</v>
      </c>
    </row>
    <row r="148" spans="1:12" ht="25.2" x14ac:dyDescent="0.2">
      <c r="A148" s="22">
        <v>45769</v>
      </c>
      <c r="B148" s="22" t="s">
        <v>13</v>
      </c>
      <c r="C148" s="27" t="s">
        <v>14</v>
      </c>
      <c r="D148" s="27" t="s">
        <v>15</v>
      </c>
      <c r="E148" s="27" t="s">
        <v>16</v>
      </c>
      <c r="F148" s="27" t="s">
        <v>17</v>
      </c>
      <c r="G148" s="28" t="s">
        <v>103</v>
      </c>
      <c r="H148" s="29">
        <f t="shared" si="1"/>
        <v>7.6388888888888618E-3</v>
      </c>
      <c r="I148" s="30">
        <v>0.41805555555555557</v>
      </c>
      <c r="J148" s="30">
        <v>0.42569444444444443</v>
      </c>
    </row>
    <row r="149" spans="1:12" ht="75.599999999999994" x14ac:dyDescent="0.2">
      <c r="A149" s="22">
        <v>45769</v>
      </c>
      <c r="B149" s="22" t="s">
        <v>13</v>
      </c>
      <c r="C149" s="27" t="s">
        <v>14</v>
      </c>
      <c r="D149" s="27" t="s">
        <v>15</v>
      </c>
      <c r="E149" s="27" t="s">
        <v>36</v>
      </c>
      <c r="F149" s="27" t="s">
        <v>17</v>
      </c>
      <c r="G149" s="28" t="s">
        <v>125</v>
      </c>
      <c r="H149" s="29">
        <f>J149-I149</f>
        <v>1.1805555555555569E-2</v>
      </c>
      <c r="I149" s="30">
        <v>0.42569444444444443</v>
      </c>
      <c r="J149" s="30">
        <v>0.4375</v>
      </c>
    </row>
    <row r="150" spans="1:12" ht="25.2" x14ac:dyDescent="0.2">
      <c r="A150" s="22">
        <v>45769</v>
      </c>
      <c r="B150" s="22" t="s">
        <v>13</v>
      </c>
      <c r="C150" s="27" t="s">
        <v>14</v>
      </c>
      <c r="D150" s="27" t="s">
        <v>15</v>
      </c>
      <c r="E150" s="27" t="s">
        <v>16</v>
      </c>
      <c r="F150" s="27" t="s">
        <v>17</v>
      </c>
      <c r="G150" s="28" t="s">
        <v>109</v>
      </c>
      <c r="H150" s="29">
        <f>J150-I150</f>
        <v>2.0833333333333315E-2</v>
      </c>
      <c r="I150" s="30">
        <v>0.4375</v>
      </c>
      <c r="J150" s="30">
        <v>0.45833333333333331</v>
      </c>
    </row>
    <row r="151" spans="1:12" ht="25.2" x14ac:dyDescent="0.2">
      <c r="A151" s="22">
        <v>45769</v>
      </c>
      <c r="B151" s="22" t="s">
        <v>13</v>
      </c>
      <c r="C151" s="27" t="s">
        <v>14</v>
      </c>
      <c r="D151" s="27" t="s">
        <v>15</v>
      </c>
      <c r="E151" s="27" t="s">
        <v>16</v>
      </c>
      <c r="F151" s="27" t="s">
        <v>17</v>
      </c>
      <c r="G151" s="28" t="s">
        <v>100</v>
      </c>
      <c r="H151" s="29">
        <f t="shared" si="1"/>
        <v>4.3750000000000011E-2</v>
      </c>
      <c r="I151" s="30">
        <v>0.45833333333333331</v>
      </c>
      <c r="J151" s="30">
        <v>0.50208333333333333</v>
      </c>
    </row>
    <row r="152" spans="1:12" x14ac:dyDescent="0.2">
      <c r="A152" s="22">
        <v>45769</v>
      </c>
      <c r="B152" s="22" t="s">
        <v>13</v>
      </c>
      <c r="C152" s="27" t="s">
        <v>14</v>
      </c>
      <c r="D152" s="27" t="s">
        <v>15</v>
      </c>
      <c r="E152" s="27" t="s">
        <v>25</v>
      </c>
      <c r="F152" s="27" t="s">
        <v>17</v>
      </c>
      <c r="G152" s="28" t="s">
        <v>38</v>
      </c>
      <c r="H152" s="29">
        <f t="shared" si="1"/>
        <v>4.166666666666663E-2</v>
      </c>
      <c r="I152" s="30">
        <v>0.50208333333333333</v>
      </c>
      <c r="J152" s="30">
        <v>0.54374999999999996</v>
      </c>
    </row>
    <row r="153" spans="1:12" ht="50.4" x14ac:dyDescent="0.2">
      <c r="A153" s="22">
        <v>45769</v>
      </c>
      <c r="B153" s="22" t="s">
        <v>13</v>
      </c>
      <c r="C153" s="27" t="s">
        <v>14</v>
      </c>
      <c r="D153" s="27" t="s">
        <v>15</v>
      </c>
      <c r="E153" s="27" t="s">
        <v>36</v>
      </c>
      <c r="F153" s="27" t="s">
        <v>17</v>
      </c>
      <c r="G153" s="28" t="s">
        <v>126</v>
      </c>
      <c r="H153" s="29">
        <f t="shared" si="1"/>
        <v>9.1666666666666674E-2</v>
      </c>
      <c r="I153" s="30">
        <v>0.54374999999999996</v>
      </c>
      <c r="J153" s="30">
        <v>0.63541666666666663</v>
      </c>
    </row>
    <row r="154" spans="1:12" ht="25.2" x14ac:dyDescent="0.2">
      <c r="A154" s="22">
        <v>45769</v>
      </c>
      <c r="B154" s="22" t="s">
        <v>13</v>
      </c>
      <c r="C154" s="27" t="s">
        <v>14</v>
      </c>
      <c r="D154" s="27" t="s">
        <v>15</v>
      </c>
      <c r="E154" s="27" t="s">
        <v>16</v>
      </c>
      <c r="F154" s="27" t="s">
        <v>17</v>
      </c>
      <c r="G154" s="28" t="s">
        <v>127</v>
      </c>
      <c r="H154" s="29">
        <f t="shared" si="1"/>
        <v>1.8750000000000044E-2</v>
      </c>
      <c r="I154" s="30">
        <v>0.63541666666666663</v>
      </c>
      <c r="J154" s="30">
        <v>0.65416666666666667</v>
      </c>
    </row>
    <row r="155" spans="1:12" x14ac:dyDescent="0.2">
      <c r="A155" s="22">
        <v>45769</v>
      </c>
      <c r="B155" s="22" t="s">
        <v>13</v>
      </c>
      <c r="C155" s="27" t="s">
        <v>14</v>
      </c>
      <c r="D155" s="27" t="s">
        <v>15</v>
      </c>
      <c r="E155" s="27" t="s">
        <v>36</v>
      </c>
      <c r="F155" s="27" t="s">
        <v>17</v>
      </c>
      <c r="G155" s="28" t="s">
        <v>128</v>
      </c>
      <c r="H155" s="29">
        <f t="shared" si="1"/>
        <v>1.2499999999999956E-2</v>
      </c>
      <c r="I155" s="30">
        <v>0.65416666666666667</v>
      </c>
      <c r="J155" s="30">
        <v>0.66666666666666663</v>
      </c>
    </row>
    <row r="156" spans="1:12" ht="50.4" x14ac:dyDescent="0.2">
      <c r="A156" s="22">
        <v>45769</v>
      </c>
      <c r="B156" s="22" t="s">
        <v>13</v>
      </c>
      <c r="C156" s="27" t="s">
        <v>14</v>
      </c>
      <c r="D156" s="27" t="s">
        <v>15</v>
      </c>
      <c r="E156" s="27" t="s">
        <v>16</v>
      </c>
      <c r="F156" s="27" t="s">
        <v>17</v>
      </c>
      <c r="G156" s="28" t="s">
        <v>129</v>
      </c>
      <c r="H156" s="29">
        <f t="shared" si="1"/>
        <v>5.6250000000000022E-2</v>
      </c>
      <c r="I156" s="30">
        <v>0.66666666666666663</v>
      </c>
      <c r="J156" s="30">
        <v>0.72291666666666665</v>
      </c>
      <c r="L156" s="66"/>
    </row>
    <row r="157" spans="1:12" ht="63" x14ac:dyDescent="0.2">
      <c r="A157" s="22">
        <v>45770</v>
      </c>
      <c r="B157" s="22" t="s">
        <v>30</v>
      </c>
      <c r="C157" s="27" t="s">
        <v>14</v>
      </c>
      <c r="D157" s="27" t="s">
        <v>15</v>
      </c>
      <c r="E157" s="27" t="s">
        <v>16</v>
      </c>
      <c r="F157" s="27" t="s">
        <v>17</v>
      </c>
      <c r="G157" s="28" t="s">
        <v>130</v>
      </c>
      <c r="H157" s="29">
        <f t="shared" si="1"/>
        <v>3.0555555555555558E-2</v>
      </c>
      <c r="I157" s="30">
        <v>0.32361111111111113</v>
      </c>
      <c r="J157" s="118">
        <v>0.35416666666666669</v>
      </c>
    </row>
    <row r="158" spans="1:12" x14ac:dyDescent="0.2">
      <c r="A158" s="22">
        <v>45770</v>
      </c>
      <c r="B158" s="22" t="s">
        <v>30</v>
      </c>
      <c r="C158" s="27" t="s">
        <v>14</v>
      </c>
      <c r="D158" s="27" t="s">
        <v>15</v>
      </c>
      <c r="E158" s="27" t="s">
        <v>16</v>
      </c>
      <c r="F158" s="27" t="s">
        <v>17</v>
      </c>
      <c r="G158" s="28" t="s">
        <v>131</v>
      </c>
      <c r="H158" s="29">
        <f t="shared" si="1"/>
        <v>2.2222222222222199E-2</v>
      </c>
      <c r="I158" s="30">
        <v>0.35416666666666669</v>
      </c>
      <c r="J158" s="30">
        <v>0.37638888888888888</v>
      </c>
    </row>
    <row r="159" spans="1:12" ht="25.2" x14ac:dyDescent="0.2">
      <c r="A159" s="22">
        <v>45770</v>
      </c>
      <c r="B159" s="22" t="s">
        <v>30</v>
      </c>
      <c r="C159" s="27"/>
      <c r="D159" s="27"/>
      <c r="E159" s="27" t="s">
        <v>19</v>
      </c>
      <c r="F159" s="27" t="s">
        <v>17</v>
      </c>
      <c r="G159" s="28" t="s">
        <v>132</v>
      </c>
      <c r="H159" s="29">
        <f t="shared" si="1"/>
        <v>6.1111111111111116E-2</v>
      </c>
      <c r="I159" s="30">
        <v>0.37638888888888888</v>
      </c>
      <c r="J159" s="30">
        <v>0.4375</v>
      </c>
    </row>
    <row r="160" spans="1:12" ht="37.799999999999997" x14ac:dyDescent="0.2">
      <c r="A160" s="22">
        <v>45770</v>
      </c>
      <c r="B160" s="22" t="s">
        <v>30</v>
      </c>
      <c r="C160" s="27" t="s">
        <v>14</v>
      </c>
      <c r="D160" s="27" t="s">
        <v>15</v>
      </c>
      <c r="E160" s="27" t="s">
        <v>133</v>
      </c>
      <c r="F160" s="27" t="s">
        <v>17</v>
      </c>
      <c r="G160" s="28" t="s">
        <v>134</v>
      </c>
      <c r="H160" s="29">
        <f t="shared" si="1"/>
        <v>0.10902777777777772</v>
      </c>
      <c r="I160" s="30">
        <v>0.4375</v>
      </c>
      <c r="J160" s="30">
        <v>0.54652777777777772</v>
      </c>
    </row>
    <row r="161" spans="1:12" x14ac:dyDescent="0.2">
      <c r="A161" s="22">
        <v>45770</v>
      </c>
      <c r="B161" s="22" t="s">
        <v>30</v>
      </c>
      <c r="C161" s="27" t="s">
        <v>14</v>
      </c>
      <c r="D161" s="27" t="s">
        <v>15</v>
      </c>
      <c r="E161" s="27" t="s">
        <v>25</v>
      </c>
      <c r="F161" s="27" t="s">
        <v>17</v>
      </c>
      <c r="G161" s="28" t="s">
        <v>135</v>
      </c>
      <c r="H161" s="29">
        <f t="shared" si="1"/>
        <v>4.0277777777777857E-2</v>
      </c>
      <c r="I161" s="30">
        <v>0.54652777777777772</v>
      </c>
      <c r="J161" s="30">
        <v>0.58680555555555558</v>
      </c>
    </row>
    <row r="162" spans="1:12" x14ac:dyDescent="0.2">
      <c r="A162" s="22">
        <v>45770</v>
      </c>
      <c r="B162" s="22" t="s">
        <v>30</v>
      </c>
      <c r="C162" s="27" t="s">
        <v>14</v>
      </c>
      <c r="D162" s="27" t="s">
        <v>15</v>
      </c>
      <c r="E162" s="27" t="s">
        <v>16</v>
      </c>
      <c r="F162" s="27" t="s">
        <v>17</v>
      </c>
      <c r="G162" s="28" t="s">
        <v>136</v>
      </c>
      <c r="H162" s="29">
        <f t="shared" si="1"/>
        <v>1.1805555555555514E-2</v>
      </c>
      <c r="I162" s="30">
        <v>0.58680555555555558</v>
      </c>
      <c r="J162" s="30">
        <v>0.59861111111111109</v>
      </c>
    </row>
    <row r="163" spans="1:12" ht="50.4" x14ac:dyDescent="0.2">
      <c r="A163" s="22">
        <v>45770</v>
      </c>
      <c r="B163" s="22" t="s">
        <v>30</v>
      </c>
      <c r="C163" s="27" t="s">
        <v>14</v>
      </c>
      <c r="D163" s="27" t="s">
        <v>15</v>
      </c>
      <c r="E163" s="27" t="s">
        <v>36</v>
      </c>
      <c r="F163" s="27" t="s">
        <v>17</v>
      </c>
      <c r="G163" s="28" t="s">
        <v>137</v>
      </c>
      <c r="H163" s="29">
        <f t="shared" si="1"/>
        <v>6.8055555555555536E-2</v>
      </c>
      <c r="I163" s="30">
        <v>0.59861111111111109</v>
      </c>
      <c r="J163" s="30">
        <v>0.66666666666666663</v>
      </c>
    </row>
    <row r="164" spans="1:12" ht="37.799999999999997" x14ac:dyDescent="0.2">
      <c r="A164" s="22">
        <v>45770</v>
      </c>
      <c r="B164" s="22" t="s">
        <v>30</v>
      </c>
      <c r="C164" s="27" t="s">
        <v>14</v>
      </c>
      <c r="D164" s="27" t="s">
        <v>15</v>
      </c>
      <c r="E164" s="27" t="s">
        <v>16</v>
      </c>
      <c r="F164" s="27" t="s">
        <v>17</v>
      </c>
      <c r="G164" s="28" t="s">
        <v>138</v>
      </c>
      <c r="H164" s="29">
        <f t="shared" si="1"/>
        <v>8.3333333333334147E-3</v>
      </c>
      <c r="I164" s="120">
        <v>0.66666666666666663</v>
      </c>
      <c r="J164" s="30">
        <v>0.67500000000000004</v>
      </c>
    </row>
    <row r="165" spans="1:12" ht="50.4" x14ac:dyDescent="0.2">
      <c r="A165" s="22">
        <v>45770</v>
      </c>
      <c r="B165" s="22" t="s">
        <v>30</v>
      </c>
      <c r="C165" s="27" t="s">
        <v>14</v>
      </c>
      <c r="D165" s="27" t="s">
        <v>15</v>
      </c>
      <c r="E165" s="27" t="s">
        <v>36</v>
      </c>
      <c r="F165" s="27" t="s">
        <v>17</v>
      </c>
      <c r="G165" s="28" t="s">
        <v>137</v>
      </c>
      <c r="H165" s="29">
        <f t="shared" si="1"/>
        <v>4.5833333333333282E-2</v>
      </c>
      <c r="I165" s="30">
        <v>0.67500000000000004</v>
      </c>
      <c r="J165" s="30">
        <v>0.72083333333333333</v>
      </c>
    </row>
    <row r="166" spans="1:12" ht="63" x14ac:dyDescent="0.2">
      <c r="A166" s="22">
        <v>45771</v>
      </c>
      <c r="B166" s="22" t="s">
        <v>41</v>
      </c>
      <c r="C166" s="27" t="s">
        <v>14</v>
      </c>
      <c r="D166" s="27" t="s">
        <v>15</v>
      </c>
      <c r="E166" s="27" t="s">
        <v>16</v>
      </c>
      <c r="F166" s="27" t="s">
        <v>17</v>
      </c>
      <c r="G166" s="28" t="s">
        <v>94</v>
      </c>
      <c r="H166" s="29">
        <f t="shared" si="1"/>
        <v>1.5277777777777779E-2</v>
      </c>
      <c r="I166" s="30">
        <v>0.32569444444444445</v>
      </c>
      <c r="J166" s="30">
        <v>0.34097222222222223</v>
      </c>
      <c r="L166" s="66"/>
    </row>
    <row r="167" spans="1:12" ht="50.4" x14ac:dyDescent="0.2">
      <c r="A167" s="22">
        <v>45771</v>
      </c>
      <c r="B167" s="22" t="s">
        <v>41</v>
      </c>
      <c r="C167" s="27" t="s">
        <v>14</v>
      </c>
      <c r="D167" s="27" t="s">
        <v>15</v>
      </c>
      <c r="E167" s="27" t="s">
        <v>36</v>
      </c>
      <c r="F167" s="27" t="s">
        <v>17</v>
      </c>
      <c r="G167" s="28" t="s">
        <v>137</v>
      </c>
      <c r="H167" s="29">
        <f t="shared" si="1"/>
        <v>7.5694444444444453E-2</v>
      </c>
      <c r="I167" s="30">
        <v>0.34097222222222223</v>
      </c>
      <c r="J167" s="30">
        <v>0.41666666666666669</v>
      </c>
      <c r="L167" s="66"/>
    </row>
    <row r="168" spans="1:12" ht="25.2" x14ac:dyDescent="0.2">
      <c r="A168" s="22">
        <v>45771</v>
      </c>
      <c r="B168" s="22" t="s">
        <v>41</v>
      </c>
      <c r="C168" s="27" t="s">
        <v>14</v>
      </c>
      <c r="D168" s="27" t="s">
        <v>15</v>
      </c>
      <c r="E168" s="27" t="s">
        <v>16</v>
      </c>
      <c r="F168" s="27" t="s">
        <v>17</v>
      </c>
      <c r="G168" s="28" t="s">
        <v>103</v>
      </c>
      <c r="H168" s="29">
        <f t="shared" si="1"/>
        <v>4.8611111111110938E-3</v>
      </c>
      <c r="I168" s="30">
        <v>0.41666666666666669</v>
      </c>
      <c r="J168" s="30">
        <v>0.42152777777777778</v>
      </c>
      <c r="L168" s="66"/>
    </row>
    <row r="169" spans="1:12" ht="50.4" x14ac:dyDescent="0.2">
      <c r="A169" s="22">
        <v>45771</v>
      </c>
      <c r="B169" s="22" t="s">
        <v>41</v>
      </c>
      <c r="C169" s="27" t="s">
        <v>14</v>
      </c>
      <c r="D169" s="27" t="s">
        <v>15</v>
      </c>
      <c r="E169" s="27" t="s">
        <v>36</v>
      </c>
      <c r="F169" s="27" t="s">
        <v>17</v>
      </c>
      <c r="G169" s="40" t="s">
        <v>137</v>
      </c>
      <c r="H169" s="29">
        <f>J169-I169</f>
        <v>3.6805555555555536E-2</v>
      </c>
      <c r="I169" s="121">
        <v>0.42152777777777778</v>
      </c>
      <c r="J169" s="30">
        <v>0.45833333333333331</v>
      </c>
      <c r="L169" s="66"/>
    </row>
    <row r="170" spans="1:12" ht="25.2" x14ac:dyDescent="0.2">
      <c r="A170" s="22">
        <v>45771</v>
      </c>
      <c r="B170" s="22" t="s">
        <v>41</v>
      </c>
      <c r="C170" s="27" t="s">
        <v>14</v>
      </c>
      <c r="D170" s="27" t="s">
        <v>15</v>
      </c>
      <c r="E170" s="27" t="s">
        <v>16</v>
      </c>
      <c r="F170" s="27" t="s">
        <v>17</v>
      </c>
      <c r="G170" s="28" t="s">
        <v>100</v>
      </c>
      <c r="H170" s="29">
        <f t="shared" si="1"/>
        <v>5.2083333333333315E-2</v>
      </c>
      <c r="I170" s="30">
        <v>0.45833333333333331</v>
      </c>
      <c r="J170" s="30">
        <v>0.51041666666666663</v>
      </c>
      <c r="L170" s="66"/>
    </row>
    <row r="171" spans="1:12" x14ac:dyDescent="0.2">
      <c r="A171" s="22">
        <v>45771</v>
      </c>
      <c r="B171" s="22" t="s">
        <v>41</v>
      </c>
      <c r="C171" s="27" t="s">
        <v>14</v>
      </c>
      <c r="D171" s="27" t="s">
        <v>15</v>
      </c>
      <c r="E171" s="27" t="s">
        <v>25</v>
      </c>
      <c r="F171" s="27" t="s">
        <v>17</v>
      </c>
      <c r="G171" s="28" t="s">
        <v>139</v>
      </c>
      <c r="H171" s="29">
        <f t="shared" si="1"/>
        <v>4.1666666666666741E-2</v>
      </c>
      <c r="I171" s="30">
        <v>0.51041666666666663</v>
      </c>
      <c r="J171" s="30">
        <v>0.55208333333333337</v>
      </c>
      <c r="L171" s="66"/>
    </row>
    <row r="172" spans="1:12" ht="50.4" x14ac:dyDescent="0.2">
      <c r="A172" s="22">
        <v>45771</v>
      </c>
      <c r="B172" s="22" t="s">
        <v>41</v>
      </c>
      <c r="C172" s="27" t="s">
        <v>14</v>
      </c>
      <c r="D172" s="27" t="s">
        <v>15</v>
      </c>
      <c r="E172" s="27" t="s">
        <v>36</v>
      </c>
      <c r="F172" s="27" t="s">
        <v>17</v>
      </c>
      <c r="G172" s="28" t="s">
        <v>137</v>
      </c>
      <c r="H172" s="29">
        <f t="shared" si="1"/>
        <v>0.11458333333333326</v>
      </c>
      <c r="I172" s="30">
        <v>0.55208333333333337</v>
      </c>
      <c r="J172" s="30">
        <v>0.66666666666666663</v>
      </c>
      <c r="L172" s="66"/>
    </row>
    <row r="173" spans="1:12" ht="37.799999999999997" x14ac:dyDescent="0.2">
      <c r="A173" s="22">
        <v>45771</v>
      </c>
      <c r="B173" s="22" t="s">
        <v>41</v>
      </c>
      <c r="C173" s="27" t="s">
        <v>14</v>
      </c>
      <c r="D173" s="27" t="s">
        <v>15</v>
      </c>
      <c r="E173" s="27" t="s">
        <v>16</v>
      </c>
      <c r="F173" s="27" t="s">
        <v>17</v>
      </c>
      <c r="G173" s="28" t="s">
        <v>140</v>
      </c>
      <c r="H173" s="29">
        <f t="shared" si="1"/>
        <v>9.7916666666666652E-2</v>
      </c>
      <c r="I173" s="30">
        <v>0.66666666666666663</v>
      </c>
      <c r="J173" s="30">
        <v>0.76458333333333328</v>
      </c>
      <c r="L173" s="66"/>
    </row>
    <row r="174" spans="1:12" ht="63" x14ac:dyDescent="0.2">
      <c r="A174" s="22">
        <v>45772</v>
      </c>
      <c r="B174" s="22" t="s">
        <v>50</v>
      </c>
      <c r="C174" s="27" t="s">
        <v>14</v>
      </c>
      <c r="D174" s="27" t="s">
        <v>15</v>
      </c>
      <c r="E174" s="27" t="s">
        <v>16</v>
      </c>
      <c r="F174" s="27" t="s">
        <v>17</v>
      </c>
      <c r="G174" s="28" t="s">
        <v>94</v>
      </c>
      <c r="H174" s="29">
        <f t="shared" si="1"/>
        <v>5.2777777777777757E-2</v>
      </c>
      <c r="I174" s="30">
        <v>0.32569444444444445</v>
      </c>
      <c r="J174" s="30">
        <v>0.37847222222222221</v>
      </c>
    </row>
    <row r="175" spans="1:12" ht="50.4" x14ac:dyDescent="0.2">
      <c r="A175" s="22">
        <v>45772</v>
      </c>
      <c r="B175" s="22" t="s">
        <v>50</v>
      </c>
      <c r="C175" s="27" t="s">
        <v>14</v>
      </c>
      <c r="D175" s="27" t="s">
        <v>15</v>
      </c>
      <c r="E175" s="27" t="s">
        <v>19</v>
      </c>
      <c r="F175" s="27" t="s">
        <v>17</v>
      </c>
      <c r="G175" s="28" t="s">
        <v>141</v>
      </c>
      <c r="H175" s="29">
        <f t="shared" si="1"/>
        <v>3.8194444444444475E-2</v>
      </c>
      <c r="I175" s="30">
        <v>0.37847222222222221</v>
      </c>
      <c r="J175" s="30">
        <v>0.41666666666666669</v>
      </c>
      <c r="L175" s="66"/>
    </row>
    <row r="176" spans="1:12" ht="25.2" x14ac:dyDescent="0.2">
      <c r="A176" s="22">
        <v>45772</v>
      </c>
      <c r="B176" s="22" t="s">
        <v>50</v>
      </c>
      <c r="C176" s="27" t="s">
        <v>14</v>
      </c>
      <c r="D176" s="27" t="s">
        <v>15</v>
      </c>
      <c r="E176" s="27" t="s">
        <v>16</v>
      </c>
      <c r="F176" s="27" t="s">
        <v>17</v>
      </c>
      <c r="G176" s="28" t="s">
        <v>103</v>
      </c>
      <c r="H176" s="29">
        <f t="shared" si="1"/>
        <v>8.3333333333333037E-3</v>
      </c>
      <c r="I176" s="30">
        <v>0.41666666666666669</v>
      </c>
      <c r="J176" s="30">
        <v>0.42499999999999999</v>
      </c>
      <c r="L176" s="66"/>
    </row>
    <row r="177" spans="1:12" ht="50.4" x14ac:dyDescent="0.2">
      <c r="A177" s="22">
        <v>45772</v>
      </c>
      <c r="B177" s="22" t="s">
        <v>50</v>
      </c>
      <c r="C177" s="27" t="s">
        <v>14</v>
      </c>
      <c r="D177" s="27" t="s">
        <v>15</v>
      </c>
      <c r="E177" s="27" t="s">
        <v>19</v>
      </c>
      <c r="F177" s="27" t="s">
        <v>17</v>
      </c>
      <c r="G177" s="28" t="s">
        <v>141</v>
      </c>
      <c r="H177" s="29">
        <f t="shared" si="1"/>
        <v>3.3333333333333326E-2</v>
      </c>
      <c r="I177" s="30">
        <v>0.42499999999999999</v>
      </c>
      <c r="J177" s="30">
        <v>0.45833333333333331</v>
      </c>
      <c r="L177" s="66"/>
    </row>
    <row r="178" spans="1:12" ht="25.2" x14ac:dyDescent="0.2">
      <c r="A178" s="22">
        <v>45772</v>
      </c>
      <c r="B178" s="22" t="s">
        <v>50</v>
      </c>
      <c r="C178" s="27" t="s">
        <v>14</v>
      </c>
      <c r="D178" s="27" t="s">
        <v>15</v>
      </c>
      <c r="E178" s="27" t="s">
        <v>16</v>
      </c>
      <c r="F178" s="27" t="s">
        <v>17</v>
      </c>
      <c r="G178" s="28" t="s">
        <v>100</v>
      </c>
      <c r="H178" s="29">
        <f t="shared" si="1"/>
        <v>2.083333333333337E-2</v>
      </c>
      <c r="I178" s="30">
        <v>0.45833333333333331</v>
      </c>
      <c r="J178" s="30">
        <v>0.47916666666666669</v>
      </c>
      <c r="L178" s="66"/>
    </row>
    <row r="179" spans="1:12" ht="37.799999999999997" x14ac:dyDescent="0.2">
      <c r="A179" s="22">
        <v>45772</v>
      </c>
      <c r="B179" s="22" t="s">
        <v>50</v>
      </c>
      <c r="C179" s="27" t="s">
        <v>14</v>
      </c>
      <c r="D179" s="27" t="s">
        <v>15</v>
      </c>
      <c r="E179" s="27" t="s">
        <v>19</v>
      </c>
      <c r="F179" s="27" t="s">
        <v>17</v>
      </c>
      <c r="G179" s="28" t="s">
        <v>142</v>
      </c>
      <c r="H179" s="29">
        <f t="shared" si="1"/>
        <v>2.4305555555555525E-2</v>
      </c>
      <c r="I179" s="30">
        <v>0.47916666666666669</v>
      </c>
      <c r="J179" s="30">
        <v>0.50347222222222221</v>
      </c>
      <c r="L179" s="66"/>
    </row>
    <row r="180" spans="1:12" x14ac:dyDescent="0.2">
      <c r="A180" s="22">
        <v>45772</v>
      </c>
      <c r="B180" s="22" t="s">
        <v>50</v>
      </c>
      <c r="C180" s="27" t="s">
        <v>14</v>
      </c>
      <c r="D180" s="27" t="s">
        <v>15</v>
      </c>
      <c r="E180" s="27" t="s">
        <v>16</v>
      </c>
      <c r="F180" s="27" t="s">
        <v>17</v>
      </c>
      <c r="G180" s="23" t="s">
        <v>26</v>
      </c>
      <c r="H180" s="29">
        <f t="shared" si="1"/>
        <v>4.166666666666663E-2</v>
      </c>
      <c r="I180" s="30">
        <v>0.50347222222222221</v>
      </c>
      <c r="J180" s="30">
        <v>0.54513888888888884</v>
      </c>
      <c r="L180" s="66"/>
    </row>
    <row r="181" spans="1:12" ht="37.799999999999997" x14ac:dyDescent="0.2">
      <c r="A181" s="22">
        <v>45772</v>
      </c>
      <c r="B181" s="22" t="s">
        <v>50</v>
      </c>
      <c r="C181" s="27" t="s">
        <v>14</v>
      </c>
      <c r="D181" s="27" t="s">
        <v>15</v>
      </c>
      <c r="E181" s="27" t="s">
        <v>19</v>
      </c>
      <c r="F181" s="27" t="s">
        <v>17</v>
      </c>
      <c r="G181" s="28" t="s">
        <v>143</v>
      </c>
      <c r="H181" s="29">
        <f t="shared" si="1"/>
        <v>0.12152777777777779</v>
      </c>
      <c r="I181" s="30">
        <v>0.54513888888888884</v>
      </c>
      <c r="J181" s="30">
        <v>0.66666666666666663</v>
      </c>
      <c r="L181" s="66"/>
    </row>
    <row r="182" spans="1:12" ht="50.4" x14ac:dyDescent="0.2">
      <c r="A182" s="22">
        <v>45772</v>
      </c>
      <c r="B182" s="22" t="s">
        <v>50</v>
      </c>
      <c r="C182" s="27" t="s">
        <v>14</v>
      </c>
      <c r="D182" s="27" t="s">
        <v>15</v>
      </c>
      <c r="E182" s="27" t="s">
        <v>16</v>
      </c>
      <c r="F182" s="27" t="s">
        <v>17</v>
      </c>
      <c r="G182" s="28" t="s">
        <v>144</v>
      </c>
      <c r="H182" s="29">
        <f t="shared" si="1"/>
        <v>8.4027777777777812E-2</v>
      </c>
      <c r="I182" s="30">
        <v>0.66666666666666663</v>
      </c>
      <c r="J182" s="30">
        <v>0.75069444444444444</v>
      </c>
      <c r="L182" s="66"/>
    </row>
    <row r="183" spans="1:12" x14ac:dyDescent="0.2">
      <c r="A183" s="31">
        <v>45773</v>
      </c>
      <c r="B183" s="31" t="s">
        <v>58</v>
      </c>
      <c r="C183" s="32"/>
      <c r="D183" s="32"/>
      <c r="E183" s="32"/>
      <c r="F183" s="32"/>
      <c r="G183" s="33"/>
      <c r="H183" s="34">
        <f t="shared" si="1"/>
        <v>0</v>
      </c>
      <c r="I183" s="35"/>
      <c r="J183" s="35"/>
    </row>
    <row r="184" spans="1:12" x14ac:dyDescent="0.2">
      <c r="A184" s="31">
        <v>45774</v>
      </c>
      <c r="B184" s="31" t="s">
        <v>59</v>
      </c>
      <c r="C184" s="32"/>
      <c r="D184" s="32"/>
      <c r="E184" s="32"/>
      <c r="F184" s="32"/>
      <c r="G184" s="33" t="s">
        <v>145</v>
      </c>
      <c r="H184" s="34">
        <f t="shared" si="1"/>
        <v>0</v>
      </c>
      <c r="I184" s="35"/>
      <c r="J184" s="35"/>
    </row>
    <row r="185" spans="1:12" x14ac:dyDescent="0.2">
      <c r="A185" s="47">
        <v>45775</v>
      </c>
      <c r="B185" s="47" t="s">
        <v>60</v>
      </c>
      <c r="C185" s="48" t="s">
        <v>14</v>
      </c>
      <c r="D185" s="48"/>
      <c r="E185" s="48" t="s">
        <v>121</v>
      </c>
      <c r="F185" s="48" t="s">
        <v>17</v>
      </c>
      <c r="G185" s="49" t="s">
        <v>146</v>
      </c>
      <c r="H185" s="50">
        <f t="shared" si="1"/>
        <v>0.33333333333333331</v>
      </c>
      <c r="I185" s="51">
        <v>0.33333333333333331</v>
      </c>
      <c r="J185" s="51">
        <v>0.66666666666666663</v>
      </c>
    </row>
    <row r="186" spans="1:12" ht="63" x14ac:dyDescent="0.2">
      <c r="A186" s="22">
        <v>45776</v>
      </c>
      <c r="B186" s="22" t="s">
        <v>13</v>
      </c>
      <c r="C186" s="27" t="s">
        <v>14</v>
      </c>
      <c r="D186" s="27" t="s">
        <v>15</v>
      </c>
      <c r="E186" s="27" t="s">
        <v>16</v>
      </c>
      <c r="F186" s="27" t="s">
        <v>17</v>
      </c>
      <c r="G186" s="28" t="s">
        <v>147</v>
      </c>
      <c r="H186" s="29">
        <f t="shared" si="1"/>
        <v>2.0833333333333315E-2</v>
      </c>
      <c r="I186" s="30">
        <v>0.32500000000000001</v>
      </c>
      <c r="J186" s="30">
        <v>0.34583333333333333</v>
      </c>
    </row>
    <row r="187" spans="1:12" ht="37.799999999999997" x14ac:dyDescent="0.2">
      <c r="A187" s="22">
        <v>45776</v>
      </c>
      <c r="B187" s="22" t="s">
        <v>13</v>
      </c>
      <c r="C187" s="27" t="s">
        <v>14</v>
      </c>
      <c r="D187" s="27" t="s">
        <v>15</v>
      </c>
      <c r="E187" s="27" t="s">
        <v>19</v>
      </c>
      <c r="F187" s="27" t="s">
        <v>17</v>
      </c>
      <c r="G187" s="28" t="s">
        <v>143</v>
      </c>
      <c r="H187" s="29">
        <f t="shared" si="1"/>
        <v>7.0833333333333359E-2</v>
      </c>
      <c r="I187" s="30">
        <v>0.34583333333333333</v>
      </c>
      <c r="J187" s="30">
        <v>0.41666666666666669</v>
      </c>
    </row>
    <row r="188" spans="1:12" ht="25.2" x14ac:dyDescent="0.2">
      <c r="A188" s="22">
        <v>45776</v>
      </c>
      <c r="B188" s="22" t="s">
        <v>13</v>
      </c>
      <c r="C188" s="27" t="s">
        <v>14</v>
      </c>
      <c r="D188" s="27" t="s">
        <v>15</v>
      </c>
      <c r="E188" s="27" t="s">
        <v>16</v>
      </c>
      <c r="F188" s="27" t="s">
        <v>17</v>
      </c>
      <c r="G188" s="28" t="s">
        <v>103</v>
      </c>
      <c r="H188" s="29">
        <f t="shared" si="1"/>
        <v>1.1805555555555514E-2</v>
      </c>
      <c r="I188" s="30">
        <v>0.41666666666666669</v>
      </c>
      <c r="J188" s="30">
        <v>0.4284722222222222</v>
      </c>
    </row>
    <row r="189" spans="1:12" ht="37.799999999999997" x14ac:dyDescent="0.2">
      <c r="A189" s="22">
        <v>45776</v>
      </c>
      <c r="B189" s="22" t="s">
        <v>13</v>
      </c>
      <c r="C189" s="27" t="s">
        <v>14</v>
      </c>
      <c r="D189" s="27" t="s">
        <v>15</v>
      </c>
      <c r="E189" s="27" t="s">
        <v>19</v>
      </c>
      <c r="F189" s="27" t="s">
        <v>17</v>
      </c>
      <c r="G189" s="28" t="s">
        <v>143</v>
      </c>
      <c r="H189" s="29">
        <f t="shared" si="1"/>
        <v>2.9861111111111116E-2</v>
      </c>
      <c r="I189" s="30">
        <v>0.4284722222222222</v>
      </c>
      <c r="J189" s="30">
        <v>0.45833333333333331</v>
      </c>
    </row>
    <row r="190" spans="1:12" ht="25.2" x14ac:dyDescent="0.2">
      <c r="A190" s="22">
        <v>45776</v>
      </c>
      <c r="B190" s="22" t="s">
        <v>13</v>
      </c>
      <c r="C190" s="27" t="s">
        <v>14</v>
      </c>
      <c r="D190" s="27" t="s">
        <v>15</v>
      </c>
      <c r="E190" s="27" t="s">
        <v>16</v>
      </c>
      <c r="F190" s="27" t="s">
        <v>17</v>
      </c>
      <c r="G190" s="28" t="s">
        <v>148</v>
      </c>
      <c r="H190" s="29">
        <f t="shared" si="1"/>
        <v>1.1111111111111127E-2</v>
      </c>
      <c r="I190" s="30">
        <v>0.45833333333333331</v>
      </c>
      <c r="J190" s="30">
        <v>0.46944444444444444</v>
      </c>
    </row>
    <row r="191" spans="1:12" ht="37.799999999999997" x14ac:dyDescent="0.2">
      <c r="A191" s="22">
        <v>45776</v>
      </c>
      <c r="B191" s="22" t="s">
        <v>13</v>
      </c>
      <c r="C191" s="27" t="s">
        <v>14</v>
      </c>
      <c r="D191" s="27" t="s">
        <v>15</v>
      </c>
      <c r="E191" s="27" t="s">
        <v>19</v>
      </c>
      <c r="F191" s="27" t="s">
        <v>17</v>
      </c>
      <c r="G191" s="28" t="s">
        <v>143</v>
      </c>
      <c r="H191" s="29">
        <f t="shared" si="1"/>
        <v>3.2638888888888884E-2</v>
      </c>
      <c r="I191" s="30">
        <v>0.46944444444444444</v>
      </c>
      <c r="J191" s="30">
        <v>0.50208333333333333</v>
      </c>
    </row>
    <row r="192" spans="1:12" x14ac:dyDescent="0.2">
      <c r="A192" s="22">
        <v>45776</v>
      </c>
      <c r="B192" s="22" t="s">
        <v>13</v>
      </c>
      <c r="C192" s="27" t="s">
        <v>14</v>
      </c>
      <c r="D192" s="27" t="s">
        <v>15</v>
      </c>
      <c r="E192" s="27" t="s">
        <v>25</v>
      </c>
      <c r="F192" s="27" t="s">
        <v>17</v>
      </c>
      <c r="G192" s="28" t="s">
        <v>149</v>
      </c>
      <c r="H192" s="29">
        <f t="shared" si="1"/>
        <v>4.166666666666663E-2</v>
      </c>
      <c r="I192" s="30">
        <v>0.50208333333333333</v>
      </c>
      <c r="J192" s="30">
        <v>0.54374999999999996</v>
      </c>
    </row>
    <row r="193" spans="1:12" ht="37.799999999999997" x14ac:dyDescent="0.2">
      <c r="A193" s="22">
        <v>45776</v>
      </c>
      <c r="B193" s="22" t="s">
        <v>13</v>
      </c>
      <c r="C193" s="27" t="s">
        <v>14</v>
      </c>
      <c r="D193" s="27" t="s">
        <v>15</v>
      </c>
      <c r="E193" s="27" t="s">
        <v>19</v>
      </c>
      <c r="F193" s="27" t="s">
        <v>17</v>
      </c>
      <c r="G193" s="28" t="s">
        <v>143</v>
      </c>
      <c r="H193" s="29">
        <f t="shared" si="1"/>
        <v>0.12291666666666667</v>
      </c>
      <c r="I193" s="30">
        <v>0.54374999999999996</v>
      </c>
      <c r="J193" s="30">
        <v>0.66666666666666663</v>
      </c>
    </row>
    <row r="194" spans="1:12" ht="37.799999999999997" x14ac:dyDescent="0.2">
      <c r="A194" s="22">
        <v>45776</v>
      </c>
      <c r="B194" s="22" t="s">
        <v>13</v>
      </c>
      <c r="C194" s="27" t="s">
        <v>14</v>
      </c>
      <c r="D194" s="27" t="s">
        <v>15</v>
      </c>
      <c r="E194" s="27" t="s">
        <v>16</v>
      </c>
      <c r="F194" s="27" t="s">
        <v>17</v>
      </c>
      <c r="G194" s="28" t="s">
        <v>150</v>
      </c>
      <c r="H194" s="29">
        <f t="shared" si="1"/>
        <v>8.6111111111111138E-2</v>
      </c>
      <c r="I194" s="30">
        <v>0.66666666666666663</v>
      </c>
      <c r="J194" s="30">
        <v>0.75277777777777777</v>
      </c>
      <c r="L194" s="66"/>
    </row>
    <row r="195" spans="1:12" ht="63" x14ac:dyDescent="0.2">
      <c r="A195" s="22">
        <v>45777</v>
      </c>
      <c r="B195" s="22" t="s">
        <v>30</v>
      </c>
      <c r="C195" s="27" t="s">
        <v>14</v>
      </c>
      <c r="D195" s="27" t="s">
        <v>15</v>
      </c>
      <c r="E195" s="27" t="s">
        <v>16</v>
      </c>
      <c r="F195" s="27" t="s">
        <v>17</v>
      </c>
      <c r="G195" s="28" t="s">
        <v>124</v>
      </c>
      <c r="H195" s="29">
        <f t="shared" si="1"/>
        <v>1.5972222222222221E-2</v>
      </c>
      <c r="I195" s="30">
        <v>0.3263888888888889</v>
      </c>
      <c r="J195" s="30">
        <v>0.34236111111111112</v>
      </c>
    </row>
    <row r="196" spans="1:12" ht="37.799999999999997" x14ac:dyDescent="0.2">
      <c r="A196" s="22">
        <v>45777</v>
      </c>
      <c r="B196" s="22" t="s">
        <v>30</v>
      </c>
      <c r="C196" s="27" t="s">
        <v>14</v>
      </c>
      <c r="D196" s="27" t="s">
        <v>15</v>
      </c>
      <c r="E196" s="27" t="s">
        <v>19</v>
      </c>
      <c r="F196" s="27" t="s">
        <v>17</v>
      </c>
      <c r="G196" s="28" t="s">
        <v>143</v>
      </c>
      <c r="H196" s="29">
        <f t="shared" ref="H196:H203" si="4">J196-I196</f>
        <v>7.4305555555555569E-2</v>
      </c>
      <c r="I196" s="30">
        <v>0.34236111111111112</v>
      </c>
      <c r="J196" s="30">
        <v>0.41666666666666669</v>
      </c>
    </row>
    <row r="197" spans="1:12" ht="25.2" x14ac:dyDescent="0.2">
      <c r="A197" s="22">
        <v>45777</v>
      </c>
      <c r="B197" s="22" t="s">
        <v>30</v>
      </c>
      <c r="C197" s="27" t="s">
        <v>14</v>
      </c>
      <c r="D197" s="27" t="s">
        <v>15</v>
      </c>
      <c r="E197" s="27" t="s">
        <v>16</v>
      </c>
      <c r="F197" s="27" t="s">
        <v>17</v>
      </c>
      <c r="G197" s="28" t="s">
        <v>103</v>
      </c>
      <c r="H197" s="29">
        <f t="shared" si="4"/>
        <v>9.0277777777777457E-3</v>
      </c>
      <c r="I197" s="30">
        <v>0.41666666666666669</v>
      </c>
      <c r="J197" s="30">
        <v>0.42569444444444443</v>
      </c>
    </row>
    <row r="198" spans="1:12" ht="37.799999999999997" x14ac:dyDescent="0.2">
      <c r="A198" s="22">
        <v>45777</v>
      </c>
      <c r="B198" s="22" t="s">
        <v>30</v>
      </c>
      <c r="C198" s="27" t="s">
        <v>14</v>
      </c>
      <c r="D198" s="27" t="s">
        <v>15</v>
      </c>
      <c r="E198" s="27" t="s">
        <v>19</v>
      </c>
      <c r="F198" s="27" t="s">
        <v>17</v>
      </c>
      <c r="G198" s="28" t="s">
        <v>143</v>
      </c>
      <c r="H198" s="29">
        <f t="shared" si="4"/>
        <v>7.5694444444444453E-2</v>
      </c>
      <c r="I198" s="30">
        <v>0.42569444444444443</v>
      </c>
      <c r="J198" s="30">
        <v>0.50138888888888888</v>
      </c>
    </row>
    <row r="199" spans="1:12" x14ac:dyDescent="0.2">
      <c r="A199" s="22">
        <v>45777</v>
      </c>
      <c r="B199" s="22" t="s">
        <v>30</v>
      </c>
      <c r="C199" s="27" t="s">
        <v>14</v>
      </c>
      <c r="D199" s="27" t="s">
        <v>15</v>
      </c>
      <c r="E199" s="27" t="s">
        <v>25</v>
      </c>
      <c r="F199" s="27" t="s">
        <v>17</v>
      </c>
      <c r="G199" s="28" t="s">
        <v>84</v>
      </c>
      <c r="H199" s="29">
        <f t="shared" si="4"/>
        <v>4.166666666666663E-2</v>
      </c>
      <c r="I199" s="30">
        <v>0.50138888888888888</v>
      </c>
      <c r="J199" s="30">
        <v>0.54305555555555551</v>
      </c>
    </row>
    <row r="200" spans="1:12" ht="37.799999999999997" x14ac:dyDescent="0.2">
      <c r="A200" s="22">
        <v>45777</v>
      </c>
      <c r="B200" s="22" t="s">
        <v>30</v>
      </c>
      <c r="C200" s="27" t="s">
        <v>14</v>
      </c>
      <c r="D200" s="27" t="s">
        <v>15</v>
      </c>
      <c r="E200" s="27" t="s">
        <v>19</v>
      </c>
      <c r="F200" s="27" t="s">
        <v>17</v>
      </c>
      <c r="G200" s="28" t="s">
        <v>143</v>
      </c>
      <c r="H200" s="29">
        <f t="shared" si="4"/>
        <v>8.333333333333337E-2</v>
      </c>
      <c r="I200" s="30">
        <v>0.54166666666666663</v>
      </c>
      <c r="J200" s="30">
        <v>0.625</v>
      </c>
    </row>
    <row r="201" spans="1:12" ht="25.2" x14ac:dyDescent="0.2">
      <c r="A201" s="22">
        <v>45777</v>
      </c>
      <c r="B201" s="22" t="s">
        <v>30</v>
      </c>
      <c r="C201" s="27" t="s">
        <v>14</v>
      </c>
      <c r="D201" s="27" t="s">
        <v>15</v>
      </c>
      <c r="E201" s="27" t="s">
        <v>16</v>
      </c>
      <c r="F201" s="27" t="s">
        <v>17</v>
      </c>
      <c r="G201" s="28" t="s">
        <v>151</v>
      </c>
      <c r="H201" s="29">
        <f t="shared" si="4"/>
        <v>1.3194444444444398E-2</v>
      </c>
      <c r="I201" s="30">
        <v>0.625</v>
      </c>
      <c r="J201" s="30">
        <v>0.6381944444444444</v>
      </c>
    </row>
    <row r="202" spans="1:12" ht="37.799999999999997" x14ac:dyDescent="0.2">
      <c r="A202" s="22">
        <v>45777</v>
      </c>
      <c r="B202" s="22" t="s">
        <v>30</v>
      </c>
      <c r="C202" s="27" t="s">
        <v>14</v>
      </c>
      <c r="D202" s="27" t="s">
        <v>15</v>
      </c>
      <c r="E202" s="27" t="s">
        <v>19</v>
      </c>
      <c r="F202" s="27" t="s">
        <v>17</v>
      </c>
      <c r="G202" s="28" t="s">
        <v>143</v>
      </c>
      <c r="H202" s="29">
        <f t="shared" si="4"/>
        <v>2.8472222222222232E-2</v>
      </c>
      <c r="I202" s="30">
        <v>0.6381944444444444</v>
      </c>
      <c r="J202" s="30">
        <v>0.66666666666666663</v>
      </c>
    </row>
    <row r="203" spans="1:12" ht="50.4" x14ac:dyDescent="0.2">
      <c r="A203" s="22">
        <v>45777</v>
      </c>
      <c r="B203" s="22" t="s">
        <v>30</v>
      </c>
      <c r="C203" s="27" t="s">
        <v>14</v>
      </c>
      <c r="D203" s="27" t="s">
        <v>15</v>
      </c>
      <c r="E203" s="27" t="s">
        <v>16</v>
      </c>
      <c r="F203" s="27" t="s">
        <v>17</v>
      </c>
      <c r="G203" s="28" t="s">
        <v>152</v>
      </c>
      <c r="H203" s="29">
        <f t="shared" si="4"/>
        <v>6.25E-2</v>
      </c>
      <c r="I203" s="30">
        <v>0.66666666666666663</v>
      </c>
      <c r="J203" s="30">
        <v>0.72916666666666663</v>
      </c>
      <c r="L203" s="66"/>
    </row>
    <row r="204" spans="1:12" x14ac:dyDescent="0.2">
      <c r="A204" s="46"/>
      <c r="B204" s="46"/>
      <c r="G204" s="40"/>
      <c r="H204" s="66"/>
      <c r="I204" s="122"/>
      <c r="J204" s="122"/>
    </row>
    <row r="205" spans="1:12" ht="13.95" customHeight="1" thickBot="1" x14ac:dyDescent="0.3">
      <c r="A205" s="46"/>
      <c r="B205" s="45"/>
      <c r="C205" s="45"/>
      <c r="D205" s="45"/>
      <c r="E205" s="45"/>
      <c r="F205" s="45"/>
      <c r="G205" s="45"/>
      <c r="H205" s="36"/>
      <c r="I205" s="37"/>
    </row>
    <row r="206" spans="1:12" ht="13.95" customHeight="1" x14ac:dyDescent="0.25">
      <c r="A206" s="4"/>
      <c r="B206" s="4"/>
      <c r="C206" s="5"/>
      <c r="D206" s="6"/>
      <c r="E206" s="7" t="s">
        <v>153</v>
      </c>
      <c r="F206" s="8">
        <f>F207*8</f>
        <v>152</v>
      </c>
      <c r="H206" s="40"/>
    </row>
    <row r="207" spans="1:12" ht="13.95" customHeight="1" thickBot="1" x14ac:dyDescent="0.3">
      <c r="A207" s="4"/>
      <c r="B207" s="4"/>
      <c r="C207" s="9"/>
      <c r="D207" s="2"/>
      <c r="E207" s="10" t="s">
        <v>154</v>
      </c>
      <c r="F207" s="11">
        <v>19</v>
      </c>
      <c r="H207" s="40"/>
    </row>
    <row r="208" spans="1:12" ht="13.95" customHeight="1" thickBot="1" x14ac:dyDescent="0.3">
      <c r="A208" s="124" t="s">
        <v>155</v>
      </c>
      <c r="B208" s="124"/>
      <c r="C208" s="124"/>
      <c r="D208" s="12"/>
      <c r="E208" s="2"/>
      <c r="F208" s="2"/>
      <c r="H208" s="40"/>
    </row>
    <row r="209" spans="1:8" ht="13.8" x14ac:dyDescent="0.25">
      <c r="A209" s="13"/>
      <c r="B209" s="13"/>
      <c r="C209" s="6"/>
      <c r="D209" s="6"/>
      <c r="E209" s="14" t="s">
        <v>156</v>
      </c>
      <c r="F209" s="15">
        <f>SUMIF(F173:F204,"Billable",H173:H204)</f>
        <v>0</v>
      </c>
      <c r="H209" s="38"/>
    </row>
    <row r="210" spans="1:8" ht="15" customHeight="1" thickBot="1" x14ac:dyDescent="0.3">
      <c r="A210" s="125" t="s">
        <v>157</v>
      </c>
      <c r="B210" s="125"/>
      <c r="C210" s="125"/>
      <c r="D210" s="16"/>
      <c r="E210" s="17" t="s">
        <v>158</v>
      </c>
      <c r="F210" s="18">
        <f>SUMIF(F9:F203,"Non-Billable",H9:H203)</f>
        <v>8.8743055555555497</v>
      </c>
      <c r="H210" s="40"/>
    </row>
    <row r="211" spans="1:8" ht="14.4" thickBot="1" x14ac:dyDescent="0.3">
      <c r="A211" s="2"/>
      <c r="B211" s="2"/>
      <c r="C211" s="2"/>
      <c r="D211" s="2"/>
      <c r="E211" s="19" t="s">
        <v>159</v>
      </c>
      <c r="F211" s="44">
        <f>F209+F210</f>
        <v>8.8743055555555497</v>
      </c>
      <c r="H211" s="40"/>
    </row>
    <row r="212" spans="1:8" ht="13.8" thickBot="1" x14ac:dyDescent="0.3">
      <c r="A212" s="2"/>
      <c r="B212" s="2"/>
      <c r="C212" s="2"/>
      <c r="D212" s="2"/>
      <c r="E212" s="2"/>
      <c r="F212" s="2"/>
      <c r="H212" s="40"/>
    </row>
    <row r="213" spans="1:8" ht="13.8" thickBot="1" x14ac:dyDescent="0.3">
      <c r="A213" s="2"/>
      <c r="B213" s="2"/>
      <c r="C213" s="2"/>
      <c r="D213" s="2"/>
      <c r="E213" s="20" t="s">
        <v>160</v>
      </c>
      <c r="F213" s="21"/>
      <c r="H213" s="40"/>
    </row>
    <row r="214" spans="1:8" ht="13.2" thickBot="1" x14ac:dyDescent="0.25">
      <c r="E214" s="39"/>
      <c r="H214" s="40"/>
    </row>
  </sheetData>
  <mergeCells count="2">
    <mergeCell ref="A208:C208"/>
    <mergeCell ref="A210:C210"/>
  </mergeCells>
  <phoneticPr fontId="10" type="noConversion"/>
  <conditionalFormatting sqref="A6:B6 D7:E7">
    <cfRule type="containsText" dxfId="95" priority="23" operator="containsText" text="Religious Leave">
      <formula>NOT(ISERROR(SEARCH("Religious Leave",A6)))</formula>
    </cfRule>
    <cfRule type="containsText" dxfId="94" priority="24" operator="containsText" text="Birthday Leave">
      <formula>NOT(ISERROR(SEARCH("Birthday Leave",A6)))</formula>
    </cfRule>
    <cfRule type="containsText" dxfId="93" priority="25" operator="containsText" text="Study Leave">
      <formula>NOT(ISERROR(SEARCH("Study Leave",A6)))</formula>
    </cfRule>
    <cfRule type="containsText" dxfId="92" priority="26" operator="containsText" text="Family Responsibility Leave">
      <formula>NOT(ISERROR(SEARCH("Family Responsibility Leave",A6)))</formula>
    </cfRule>
    <cfRule type="containsText" dxfId="91" priority="27" operator="containsText" text="Sick Leave">
      <formula>NOT(ISERROR(SEARCH("Sick Leave",A6)))</formula>
    </cfRule>
    <cfRule type="containsText" dxfId="90" priority="28" operator="containsText" text="Annual Leave">
      <formula>NOT(ISERROR(SEARCH("Annual Leave",A6)))</formula>
    </cfRule>
    <cfRule type="cellIs" dxfId="89" priority="29" operator="equal">
      <formula>"Public Holiday"</formula>
    </cfRule>
  </conditionalFormatting>
  <conditionalFormatting sqref="B8:B214">
    <cfRule type="containsText" dxfId="88" priority="8" operator="containsText" text="Saturday">
      <formula>NOT(ISERROR(SEARCH("Saturday",B8)))</formula>
    </cfRule>
    <cfRule type="containsText" dxfId="87" priority="9" operator="containsText" text="Sunday">
      <formula>NOT(ISERROR(SEARCH("Sunday",B8)))</formula>
    </cfRule>
  </conditionalFormatting>
  <conditionalFormatting sqref="D205:E206 D208:E210 E213">
    <cfRule type="containsText" dxfId="86" priority="1" operator="containsText" text="Religious Leave">
      <formula>NOT(ISERROR(SEARCH("Religious Leave",D205)))</formula>
    </cfRule>
    <cfRule type="containsText" dxfId="85" priority="2" operator="containsText" text="Birthday Leave">
      <formula>NOT(ISERROR(SEARCH("Birthday Leave",D205)))</formula>
    </cfRule>
    <cfRule type="containsText" dxfId="84" priority="3" operator="containsText" text="Study Leave">
      <formula>NOT(ISERROR(SEARCH("Study Leave",D205)))</formula>
    </cfRule>
    <cfRule type="containsText" dxfId="83" priority="4" operator="containsText" text="Family Responsibility Leave">
      <formula>NOT(ISERROR(SEARCH("Family Responsibility Leave",D205)))</formula>
    </cfRule>
    <cfRule type="containsText" dxfId="82" priority="5" operator="containsText" text="Sick Leave">
      <formula>NOT(ISERROR(SEARCH("Sick Leave",D205)))</formula>
    </cfRule>
    <cfRule type="containsText" dxfId="81" priority="6" operator="containsText" text="Annual Leave">
      <formula>NOT(ISERROR(SEARCH("Annual Leave",D205)))</formula>
    </cfRule>
    <cfRule type="cellIs" dxfId="8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6 J105:J107 I38:J103 I104:I107 I108:J156 J158:J159 I157:I159 I165 I160:J163 J164:J165 I166:J204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Key!$H$3:$H$76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Key!$K$3:$K$4</xm:f>
          </x14:formula1>
          <xm:sqref>F9:F145 F183:F204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E9:E36 E38:E151 E153:E158 E167:E169 E165 E163 E172:E204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C9:C145 C183:C204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L220"/>
  <sheetViews>
    <sheetView tabSelected="1" zoomScale="75" zoomScaleNormal="75" workbookViewId="0">
      <selection activeCell="A8" sqref="A8:J20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73">
        <f>F214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45778</v>
      </c>
      <c r="B9" s="47" t="s">
        <v>41</v>
      </c>
      <c r="C9" s="48" t="s">
        <v>14</v>
      </c>
      <c r="D9" s="48"/>
      <c r="E9" s="48" t="s">
        <v>121</v>
      </c>
      <c r="F9" s="48" t="s">
        <v>17</v>
      </c>
      <c r="G9" s="49" t="s">
        <v>161</v>
      </c>
      <c r="H9" s="50">
        <f t="shared" ref="H9:H209" si="0">J9-I9</f>
        <v>0.33333333333333331</v>
      </c>
      <c r="I9" s="51">
        <v>0.33333333333333331</v>
      </c>
      <c r="J9" s="51">
        <v>0.66666666666666663</v>
      </c>
    </row>
    <row r="10" spans="1:10" ht="63" x14ac:dyDescent="0.2">
      <c r="A10" s="22">
        <v>45779</v>
      </c>
      <c r="B10" s="22" t="s">
        <v>50</v>
      </c>
      <c r="C10" s="27" t="s">
        <v>14</v>
      </c>
      <c r="D10" s="27" t="s">
        <v>15</v>
      </c>
      <c r="E10" s="27" t="s">
        <v>16</v>
      </c>
      <c r="F10" s="27" t="s">
        <v>17</v>
      </c>
      <c r="G10" s="28" t="s">
        <v>94</v>
      </c>
      <c r="H10" s="29">
        <f t="shared" ref="H10:H20" si="1">J10-I10</f>
        <v>1.7361111111111105E-2</v>
      </c>
      <c r="I10" s="30">
        <v>0.32569444444444445</v>
      </c>
      <c r="J10" s="30">
        <v>0.34305555555555556</v>
      </c>
    </row>
    <row r="11" spans="1:10" ht="100.8" x14ac:dyDescent="0.2">
      <c r="A11" s="22">
        <v>45779</v>
      </c>
      <c r="B11" s="22" t="s">
        <v>50</v>
      </c>
      <c r="C11" s="27" t="s">
        <v>14</v>
      </c>
      <c r="D11" s="27" t="s">
        <v>15</v>
      </c>
      <c r="E11" s="27" t="s">
        <v>36</v>
      </c>
      <c r="F11" s="27" t="s">
        <v>17</v>
      </c>
      <c r="G11" s="28" t="s">
        <v>162</v>
      </c>
      <c r="H11" s="29">
        <f t="shared" si="1"/>
        <v>7.3611111111111127E-2</v>
      </c>
      <c r="I11" s="30">
        <v>0.34305555555555556</v>
      </c>
      <c r="J11" s="30">
        <v>0.41666666666666669</v>
      </c>
    </row>
    <row r="12" spans="1:10" ht="25.2" x14ac:dyDescent="0.2">
      <c r="A12" s="22">
        <v>45779</v>
      </c>
      <c r="B12" s="22" t="s">
        <v>50</v>
      </c>
      <c r="C12" s="27" t="s">
        <v>14</v>
      </c>
      <c r="D12" s="27" t="s">
        <v>15</v>
      </c>
      <c r="E12" s="27" t="s">
        <v>16</v>
      </c>
      <c r="F12" s="27" t="s">
        <v>17</v>
      </c>
      <c r="G12" s="28" t="s">
        <v>103</v>
      </c>
      <c r="H12" s="29">
        <f t="shared" si="1"/>
        <v>8.3333333333333037E-3</v>
      </c>
      <c r="I12" s="30">
        <v>0.41666666666666669</v>
      </c>
      <c r="J12" s="30">
        <v>0.42499999999999999</v>
      </c>
    </row>
    <row r="13" spans="1:10" ht="100.8" x14ac:dyDescent="0.2">
      <c r="A13" s="22">
        <v>45779</v>
      </c>
      <c r="B13" s="22" t="s">
        <v>50</v>
      </c>
      <c r="C13" s="27" t="s">
        <v>14</v>
      </c>
      <c r="D13" s="27" t="s">
        <v>15</v>
      </c>
      <c r="E13" s="27" t="s">
        <v>36</v>
      </c>
      <c r="F13" s="27" t="s">
        <v>17</v>
      </c>
      <c r="G13" s="28" t="s">
        <v>162</v>
      </c>
      <c r="H13" s="29">
        <f t="shared" si="1"/>
        <v>3.3333333333333326E-2</v>
      </c>
      <c r="I13" s="30">
        <v>0.42499999999999999</v>
      </c>
      <c r="J13" s="30">
        <v>0.45833333333333331</v>
      </c>
    </row>
    <row r="14" spans="1:10" x14ac:dyDescent="0.2">
      <c r="A14" s="22">
        <v>45779</v>
      </c>
      <c r="B14" s="22" t="s">
        <v>50</v>
      </c>
      <c r="C14" s="27" t="s">
        <v>14</v>
      </c>
      <c r="D14" s="27" t="s">
        <v>15</v>
      </c>
      <c r="E14" s="27" t="s">
        <v>16</v>
      </c>
      <c r="F14" s="27" t="s">
        <v>17</v>
      </c>
      <c r="G14" s="28" t="s">
        <v>136</v>
      </c>
      <c r="H14" s="29">
        <f t="shared" si="1"/>
        <v>2.7777777777778234E-3</v>
      </c>
      <c r="I14" s="30">
        <v>0.45833333333333331</v>
      </c>
      <c r="J14" s="30">
        <v>0.46111111111111114</v>
      </c>
    </row>
    <row r="15" spans="1:10" ht="88.2" x14ac:dyDescent="0.2">
      <c r="A15" s="22">
        <v>45779</v>
      </c>
      <c r="B15" s="22" t="s">
        <v>50</v>
      </c>
      <c r="C15" s="27" t="s">
        <v>14</v>
      </c>
      <c r="D15" s="27" t="s">
        <v>15</v>
      </c>
      <c r="E15" s="27" t="s">
        <v>36</v>
      </c>
      <c r="F15" s="27" t="s">
        <v>17</v>
      </c>
      <c r="G15" s="28" t="s">
        <v>163</v>
      </c>
      <c r="H15" s="29">
        <f t="shared" si="1"/>
        <v>4.0277777777777746E-2</v>
      </c>
      <c r="I15" s="30">
        <v>0.46111111111111114</v>
      </c>
      <c r="J15" s="30">
        <v>0.50138888888888888</v>
      </c>
    </row>
    <row r="16" spans="1:10" x14ac:dyDescent="0.2">
      <c r="A16" s="22">
        <v>45779</v>
      </c>
      <c r="B16" s="22" t="s">
        <v>50</v>
      </c>
      <c r="C16" s="27" t="s">
        <v>14</v>
      </c>
      <c r="D16" s="27" t="s">
        <v>15</v>
      </c>
      <c r="E16" s="27" t="s">
        <v>25</v>
      </c>
      <c r="F16" s="27" t="s">
        <v>17</v>
      </c>
      <c r="G16" s="28" t="s">
        <v>84</v>
      </c>
      <c r="H16" s="29">
        <f t="shared" si="1"/>
        <v>4.166666666666663E-2</v>
      </c>
      <c r="I16" s="30">
        <v>0.50138888888888888</v>
      </c>
      <c r="J16" s="30">
        <v>0.54305555555555551</v>
      </c>
    </row>
    <row r="17" spans="1:12" ht="100.8" x14ac:dyDescent="0.2">
      <c r="A17" s="22">
        <v>45779</v>
      </c>
      <c r="B17" s="22" t="s">
        <v>50</v>
      </c>
      <c r="C17" s="27" t="s">
        <v>14</v>
      </c>
      <c r="D17" s="27" t="s">
        <v>15</v>
      </c>
      <c r="E17" s="27" t="s">
        <v>36</v>
      </c>
      <c r="F17" s="27" t="s">
        <v>17</v>
      </c>
      <c r="G17" s="28" t="s">
        <v>162</v>
      </c>
      <c r="H17" s="29">
        <f t="shared" si="1"/>
        <v>8.333333333333337E-2</v>
      </c>
      <c r="I17" s="30">
        <v>0.54166666666666663</v>
      </c>
      <c r="J17" s="30">
        <v>0.625</v>
      </c>
    </row>
    <row r="18" spans="1:12" ht="25.2" x14ac:dyDescent="0.2">
      <c r="A18" s="22">
        <v>45779</v>
      </c>
      <c r="B18" s="22" t="s">
        <v>50</v>
      </c>
      <c r="C18" s="27" t="s">
        <v>14</v>
      </c>
      <c r="D18" s="27" t="s">
        <v>15</v>
      </c>
      <c r="E18" s="27" t="s">
        <v>16</v>
      </c>
      <c r="F18" s="27" t="s">
        <v>17</v>
      </c>
      <c r="G18" s="28" t="s">
        <v>164</v>
      </c>
      <c r="H18" s="29">
        <f t="shared" si="1"/>
        <v>1.4583333333333282E-2</v>
      </c>
      <c r="I18" s="30">
        <v>0.625</v>
      </c>
      <c r="J18" s="30">
        <v>0.63958333333333328</v>
      </c>
    </row>
    <row r="19" spans="1:12" ht="100.8" x14ac:dyDescent="0.2">
      <c r="A19" s="22">
        <v>45779</v>
      </c>
      <c r="B19" s="22" t="s">
        <v>50</v>
      </c>
      <c r="C19" s="27" t="s">
        <v>14</v>
      </c>
      <c r="D19" s="27" t="s">
        <v>15</v>
      </c>
      <c r="E19" s="27" t="s">
        <v>36</v>
      </c>
      <c r="F19" s="27" t="s">
        <v>17</v>
      </c>
      <c r="G19" s="28" t="s">
        <v>162</v>
      </c>
      <c r="H19" s="29">
        <f t="shared" si="1"/>
        <v>2.7083333333333348E-2</v>
      </c>
      <c r="I19" s="30">
        <v>0.63958333333333328</v>
      </c>
      <c r="J19" s="30">
        <v>0.66666666666666663</v>
      </c>
    </row>
    <row r="20" spans="1:12" ht="37.799999999999997" x14ac:dyDescent="0.2">
      <c r="A20" s="22">
        <v>45779</v>
      </c>
      <c r="B20" s="22" t="s">
        <v>50</v>
      </c>
      <c r="C20" s="27" t="s">
        <v>14</v>
      </c>
      <c r="D20" s="27" t="s">
        <v>15</v>
      </c>
      <c r="E20" s="27" t="s">
        <v>16</v>
      </c>
      <c r="F20" s="27" t="s">
        <v>17</v>
      </c>
      <c r="G20" s="28" t="s">
        <v>165</v>
      </c>
      <c r="H20" s="29">
        <f t="shared" si="1"/>
        <v>3.5416666666666652E-2</v>
      </c>
      <c r="I20" s="30">
        <v>0.66666666666666663</v>
      </c>
      <c r="J20" s="30">
        <v>0.70208333333333328</v>
      </c>
      <c r="L20" s="66"/>
    </row>
    <row r="21" spans="1:12" x14ac:dyDescent="0.2">
      <c r="A21" s="31">
        <v>45780</v>
      </c>
      <c r="B21" s="31" t="s">
        <v>58</v>
      </c>
      <c r="C21" s="32"/>
      <c r="D21" s="32"/>
      <c r="E21" s="32"/>
      <c r="F21" s="32"/>
      <c r="G21" s="33"/>
      <c r="H21" s="34">
        <f>J21-I21</f>
        <v>0</v>
      </c>
      <c r="I21" s="35"/>
      <c r="J21" s="35"/>
    </row>
    <row r="22" spans="1:12" x14ac:dyDescent="0.2">
      <c r="A22" s="31">
        <v>45781</v>
      </c>
      <c r="B22" s="31" t="s">
        <v>59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2" ht="63" x14ac:dyDescent="0.2">
      <c r="A23" s="22">
        <v>45782</v>
      </c>
      <c r="B23" s="22" t="s">
        <v>60</v>
      </c>
      <c r="C23" s="27" t="s">
        <v>14</v>
      </c>
      <c r="D23" s="27" t="s">
        <v>15</v>
      </c>
      <c r="E23" s="27" t="s">
        <v>16</v>
      </c>
      <c r="F23" s="27" t="s">
        <v>17</v>
      </c>
      <c r="G23" s="28" t="s">
        <v>94</v>
      </c>
      <c r="H23" s="29">
        <f t="shared" si="0"/>
        <v>2.2222222222222199E-2</v>
      </c>
      <c r="I23" s="30">
        <v>0.32569444444444445</v>
      </c>
      <c r="J23" s="30">
        <v>0.34791666666666665</v>
      </c>
    </row>
    <row r="24" spans="1:12" ht="88.2" x14ac:dyDescent="0.2">
      <c r="A24" s="22">
        <v>45782</v>
      </c>
      <c r="B24" s="22" t="s">
        <v>60</v>
      </c>
      <c r="C24" s="27" t="s">
        <v>14</v>
      </c>
      <c r="D24" s="27" t="s">
        <v>15</v>
      </c>
      <c r="E24" s="27" t="s">
        <v>19</v>
      </c>
      <c r="F24" s="27" t="s">
        <v>17</v>
      </c>
      <c r="G24" s="28" t="s">
        <v>166</v>
      </c>
      <c r="H24" s="29">
        <f t="shared" si="0"/>
        <v>6.8750000000000033E-2</v>
      </c>
      <c r="I24" s="30">
        <v>0.34791666666666665</v>
      </c>
      <c r="J24" s="30">
        <v>0.41666666666666669</v>
      </c>
    </row>
    <row r="25" spans="1:12" ht="25.2" x14ac:dyDescent="0.2">
      <c r="A25" s="22">
        <v>45782</v>
      </c>
      <c r="B25" s="22" t="s">
        <v>60</v>
      </c>
      <c r="C25" s="27" t="s">
        <v>14</v>
      </c>
      <c r="D25" s="27" t="s">
        <v>15</v>
      </c>
      <c r="E25" s="27" t="s">
        <v>16</v>
      </c>
      <c r="F25" s="27" t="s">
        <v>17</v>
      </c>
      <c r="G25" s="28" t="s">
        <v>103</v>
      </c>
      <c r="H25" s="29">
        <f t="shared" si="0"/>
        <v>1.4583333333333337E-2</v>
      </c>
      <c r="I25" s="30">
        <v>0.41666666666666669</v>
      </c>
      <c r="J25" s="30">
        <v>0.43125000000000002</v>
      </c>
    </row>
    <row r="26" spans="1:12" ht="88.2" x14ac:dyDescent="0.2">
      <c r="A26" s="22">
        <v>45782</v>
      </c>
      <c r="B26" s="22" t="s">
        <v>60</v>
      </c>
      <c r="C26" s="27" t="s">
        <v>14</v>
      </c>
      <c r="D26" s="27" t="s">
        <v>15</v>
      </c>
      <c r="E26" s="27" t="s">
        <v>19</v>
      </c>
      <c r="F26" s="27" t="s">
        <v>17</v>
      </c>
      <c r="G26" s="28" t="s">
        <v>166</v>
      </c>
      <c r="H26" s="29">
        <f t="shared" si="0"/>
        <v>2.7083333333333293E-2</v>
      </c>
      <c r="I26" s="30">
        <v>0.43125000000000002</v>
      </c>
      <c r="J26" s="30">
        <v>0.45833333333333331</v>
      </c>
    </row>
    <row r="27" spans="1:12" x14ac:dyDescent="0.2">
      <c r="A27" s="22">
        <v>45782</v>
      </c>
      <c r="B27" s="22" t="s">
        <v>60</v>
      </c>
      <c r="C27" s="27" t="s">
        <v>14</v>
      </c>
      <c r="D27" s="27" t="s">
        <v>15</v>
      </c>
      <c r="E27" s="27" t="s">
        <v>16</v>
      </c>
      <c r="F27" s="27" t="s">
        <v>17</v>
      </c>
      <c r="G27" s="23" t="s">
        <v>148</v>
      </c>
      <c r="H27" s="29">
        <f t="shared" si="0"/>
        <v>4.8611111111111494E-3</v>
      </c>
      <c r="I27" s="30">
        <v>0.45833333333333331</v>
      </c>
      <c r="J27" s="30">
        <v>0.46319444444444446</v>
      </c>
    </row>
    <row r="28" spans="1:12" ht="88.2" x14ac:dyDescent="0.2">
      <c r="A28" s="22">
        <v>45782</v>
      </c>
      <c r="B28" s="22" t="s">
        <v>60</v>
      </c>
      <c r="C28" s="27" t="s">
        <v>14</v>
      </c>
      <c r="D28" s="27" t="s">
        <v>15</v>
      </c>
      <c r="E28" s="27" t="s">
        <v>19</v>
      </c>
      <c r="F28" s="27" t="s">
        <v>17</v>
      </c>
      <c r="G28" s="28" t="s">
        <v>166</v>
      </c>
      <c r="H28" s="29">
        <f t="shared" si="0"/>
        <v>3.8888888888888862E-2</v>
      </c>
      <c r="I28" s="30">
        <v>0.46319444444444446</v>
      </c>
      <c r="J28" s="30">
        <v>0.50208333333333333</v>
      </c>
    </row>
    <row r="29" spans="1:12" x14ac:dyDescent="0.2">
      <c r="A29" s="22">
        <v>45782</v>
      </c>
      <c r="B29" s="22" t="s">
        <v>60</v>
      </c>
      <c r="C29" s="27" t="s">
        <v>14</v>
      </c>
      <c r="D29" s="27" t="s">
        <v>15</v>
      </c>
      <c r="E29" s="27" t="s">
        <v>25</v>
      </c>
      <c r="F29" s="27" t="s">
        <v>17</v>
      </c>
      <c r="G29" s="28" t="s">
        <v>38</v>
      </c>
      <c r="H29" s="29">
        <f t="shared" si="0"/>
        <v>4.0972222222222188E-2</v>
      </c>
      <c r="I29" s="30">
        <v>0.50208333333333333</v>
      </c>
      <c r="J29" s="30">
        <v>0.54305555555555551</v>
      </c>
    </row>
    <row r="30" spans="1:12" ht="88.2" x14ac:dyDescent="0.2">
      <c r="A30" s="22">
        <v>45782</v>
      </c>
      <c r="B30" s="22" t="s">
        <v>60</v>
      </c>
      <c r="C30" s="27" t="s">
        <v>14</v>
      </c>
      <c r="D30" s="27" t="s">
        <v>15</v>
      </c>
      <c r="E30" s="27" t="s">
        <v>19</v>
      </c>
      <c r="F30" s="27" t="s">
        <v>17</v>
      </c>
      <c r="G30" s="28" t="s">
        <v>166</v>
      </c>
      <c r="H30" s="29">
        <f t="shared" si="0"/>
        <v>8.1944444444444486E-2</v>
      </c>
      <c r="I30" s="30">
        <v>0.54305555555555551</v>
      </c>
      <c r="J30" s="30">
        <v>0.625</v>
      </c>
    </row>
    <row r="31" spans="1:12" ht="25.2" x14ac:dyDescent="0.2">
      <c r="A31" s="22">
        <v>45782</v>
      </c>
      <c r="B31" s="22" t="s">
        <v>60</v>
      </c>
      <c r="C31" s="27" t="s">
        <v>14</v>
      </c>
      <c r="D31" s="27" t="s">
        <v>15</v>
      </c>
      <c r="E31" s="27" t="s">
        <v>16</v>
      </c>
      <c r="F31" s="27" t="s">
        <v>17</v>
      </c>
      <c r="G31" s="28" t="s">
        <v>164</v>
      </c>
      <c r="H31" s="29">
        <f t="shared" si="0"/>
        <v>3.6111111111111094E-2</v>
      </c>
      <c r="I31" s="30">
        <v>0.625</v>
      </c>
      <c r="J31" s="30">
        <v>0.66111111111111109</v>
      </c>
    </row>
    <row r="32" spans="1:12" ht="88.2" x14ac:dyDescent="0.2">
      <c r="A32" s="22">
        <v>45782</v>
      </c>
      <c r="B32" s="22" t="s">
        <v>60</v>
      </c>
      <c r="C32" s="27" t="s">
        <v>14</v>
      </c>
      <c r="D32" s="27" t="s">
        <v>15</v>
      </c>
      <c r="E32" s="27" t="s">
        <v>19</v>
      </c>
      <c r="F32" s="27" t="s">
        <v>17</v>
      </c>
      <c r="G32" s="28" t="s">
        <v>166</v>
      </c>
      <c r="H32" s="29">
        <f t="shared" si="0"/>
        <v>5.5555555555555358E-3</v>
      </c>
      <c r="I32" s="30">
        <v>0.66111111111111109</v>
      </c>
      <c r="J32" s="30">
        <v>0.66666666666666663</v>
      </c>
    </row>
    <row r="33" spans="1:12" ht="50.4" x14ac:dyDescent="0.2">
      <c r="A33" s="22">
        <v>45782</v>
      </c>
      <c r="B33" s="22" t="s">
        <v>60</v>
      </c>
      <c r="C33" s="27" t="s">
        <v>14</v>
      </c>
      <c r="D33" s="27" t="s">
        <v>15</v>
      </c>
      <c r="E33" s="27" t="s">
        <v>16</v>
      </c>
      <c r="F33" s="27" t="s">
        <v>17</v>
      </c>
      <c r="G33" s="28" t="s">
        <v>167</v>
      </c>
      <c r="H33" s="29">
        <f t="shared" si="0"/>
        <v>4.7222222222222276E-2</v>
      </c>
      <c r="I33" s="30">
        <v>0.66666666666666663</v>
      </c>
      <c r="J33" s="30">
        <v>0.71388888888888891</v>
      </c>
      <c r="L33" s="66"/>
    </row>
    <row r="34" spans="1:12" ht="63" x14ac:dyDescent="0.2">
      <c r="A34" s="22">
        <v>45783</v>
      </c>
      <c r="B34" s="22" t="s">
        <v>13</v>
      </c>
      <c r="C34" s="27" t="s">
        <v>14</v>
      </c>
      <c r="D34" s="27" t="s">
        <v>15</v>
      </c>
      <c r="E34" s="27" t="s">
        <v>16</v>
      </c>
      <c r="F34" s="27" t="s">
        <v>17</v>
      </c>
      <c r="G34" s="28" t="s">
        <v>94</v>
      </c>
      <c r="H34" s="29">
        <f t="shared" si="0"/>
        <v>1.2500000000000011E-2</v>
      </c>
      <c r="I34" s="30">
        <v>0.32569444444444445</v>
      </c>
      <c r="J34" s="30">
        <v>0.33819444444444446</v>
      </c>
    </row>
    <row r="35" spans="1:12" ht="88.2" x14ac:dyDescent="0.2">
      <c r="A35" s="22">
        <v>45783</v>
      </c>
      <c r="B35" s="22" t="s">
        <v>13</v>
      </c>
      <c r="C35" s="27" t="s">
        <v>14</v>
      </c>
      <c r="D35" s="27" t="s">
        <v>15</v>
      </c>
      <c r="E35" s="27" t="s">
        <v>19</v>
      </c>
      <c r="F35" s="27" t="s">
        <v>17</v>
      </c>
      <c r="G35" s="28" t="s">
        <v>166</v>
      </c>
      <c r="H35" s="29">
        <f t="shared" ref="H35:H44" si="2">J35-I35</f>
        <v>7.8472222222222221E-2</v>
      </c>
      <c r="I35" s="30">
        <v>0.33819444444444446</v>
      </c>
      <c r="J35" s="30">
        <v>0.41666666666666669</v>
      </c>
    </row>
    <row r="36" spans="1:12" ht="25.2" x14ac:dyDescent="0.2">
      <c r="A36" s="22">
        <v>45783</v>
      </c>
      <c r="B36" s="22" t="s">
        <v>13</v>
      </c>
      <c r="C36" s="27" t="s">
        <v>14</v>
      </c>
      <c r="D36" s="27" t="s">
        <v>15</v>
      </c>
      <c r="E36" s="27" t="s">
        <v>16</v>
      </c>
      <c r="F36" s="27" t="s">
        <v>17</v>
      </c>
      <c r="G36" s="28" t="s">
        <v>103</v>
      </c>
      <c r="H36" s="29">
        <f t="shared" si="2"/>
        <v>1.041666666666663E-2</v>
      </c>
      <c r="I36" s="30">
        <v>0.41666666666666669</v>
      </c>
      <c r="J36" s="30">
        <v>0.42708333333333331</v>
      </c>
    </row>
    <row r="37" spans="1:12" ht="25.2" x14ac:dyDescent="0.2">
      <c r="A37" s="22">
        <v>45783</v>
      </c>
      <c r="B37" s="22" t="s">
        <v>13</v>
      </c>
      <c r="C37" s="27" t="s">
        <v>14</v>
      </c>
      <c r="D37" s="27" t="s">
        <v>15</v>
      </c>
      <c r="E37" s="27" t="s">
        <v>16</v>
      </c>
      <c r="F37" s="27" t="s">
        <v>17</v>
      </c>
      <c r="G37" s="28" t="s">
        <v>164</v>
      </c>
      <c r="H37" s="29">
        <f t="shared" si="2"/>
        <v>3.125E-2</v>
      </c>
      <c r="I37" s="30">
        <v>0.42708333333333331</v>
      </c>
      <c r="J37" s="30">
        <v>0.45833333333333331</v>
      </c>
    </row>
    <row r="38" spans="1:12" x14ac:dyDescent="0.2">
      <c r="A38" s="22">
        <v>45783</v>
      </c>
      <c r="B38" s="22" t="s">
        <v>13</v>
      </c>
      <c r="C38" s="27" t="s">
        <v>14</v>
      </c>
      <c r="D38" s="27" t="s">
        <v>15</v>
      </c>
      <c r="E38" s="27" t="s">
        <v>16</v>
      </c>
      <c r="F38" s="27" t="s">
        <v>17</v>
      </c>
      <c r="G38" s="23" t="s">
        <v>148</v>
      </c>
      <c r="H38" s="29">
        <f t="shared" si="2"/>
        <v>1.5972222222222221E-2</v>
      </c>
      <c r="I38" s="30">
        <v>0.45833333333333331</v>
      </c>
      <c r="J38" s="30">
        <v>0.47430555555555554</v>
      </c>
    </row>
    <row r="39" spans="1:12" ht="88.2" x14ac:dyDescent="0.2">
      <c r="A39" s="22">
        <v>45783</v>
      </c>
      <c r="B39" s="22" t="s">
        <v>13</v>
      </c>
      <c r="C39" s="27" t="s">
        <v>14</v>
      </c>
      <c r="D39" s="27" t="s">
        <v>15</v>
      </c>
      <c r="E39" s="27" t="s">
        <v>19</v>
      </c>
      <c r="F39" s="27" t="s">
        <v>17</v>
      </c>
      <c r="G39" s="28" t="s">
        <v>166</v>
      </c>
      <c r="H39" s="29">
        <f t="shared" si="2"/>
        <v>2.8472222222222232E-2</v>
      </c>
      <c r="I39" s="30">
        <v>0.47430555555555554</v>
      </c>
      <c r="J39" s="30">
        <v>0.50277777777777777</v>
      </c>
    </row>
    <row r="40" spans="1:12" x14ac:dyDescent="0.2">
      <c r="A40" s="22">
        <v>45783</v>
      </c>
      <c r="B40" s="22" t="s">
        <v>13</v>
      </c>
      <c r="C40" s="27" t="s">
        <v>14</v>
      </c>
      <c r="D40" s="27" t="s">
        <v>15</v>
      </c>
      <c r="E40" s="27" t="s">
        <v>25</v>
      </c>
      <c r="F40" s="27" t="s">
        <v>17</v>
      </c>
      <c r="G40" s="28" t="s">
        <v>78</v>
      </c>
      <c r="H40" s="29">
        <f t="shared" si="2"/>
        <v>4.0972222222222188E-2</v>
      </c>
      <c r="I40" s="30">
        <v>0.50277777777777777</v>
      </c>
      <c r="J40" s="30">
        <v>0.54374999999999996</v>
      </c>
    </row>
    <row r="41" spans="1:12" ht="88.2" x14ac:dyDescent="0.2">
      <c r="A41" s="22">
        <v>45783</v>
      </c>
      <c r="B41" s="22" t="s">
        <v>13</v>
      </c>
      <c r="C41" s="27" t="s">
        <v>14</v>
      </c>
      <c r="D41" s="27" t="s">
        <v>15</v>
      </c>
      <c r="E41" s="27" t="s">
        <v>19</v>
      </c>
      <c r="F41" s="27" t="s">
        <v>17</v>
      </c>
      <c r="G41" s="28" t="s">
        <v>166</v>
      </c>
      <c r="H41" s="29">
        <f t="shared" si="2"/>
        <v>8.1250000000000044E-2</v>
      </c>
      <c r="I41" s="30">
        <v>0.54374999999999996</v>
      </c>
      <c r="J41" s="30">
        <v>0.625</v>
      </c>
    </row>
    <row r="42" spans="1:12" ht="25.2" x14ac:dyDescent="0.2">
      <c r="A42" s="22">
        <v>45783</v>
      </c>
      <c r="B42" s="22" t="s">
        <v>13</v>
      </c>
      <c r="C42" s="27" t="s">
        <v>14</v>
      </c>
      <c r="D42" s="27" t="s">
        <v>15</v>
      </c>
      <c r="E42" s="27" t="s">
        <v>16</v>
      </c>
      <c r="F42" s="27" t="s">
        <v>17</v>
      </c>
      <c r="G42" s="28" t="s">
        <v>164</v>
      </c>
      <c r="H42" s="29">
        <f t="shared" si="2"/>
        <v>2.3611111111111138E-2</v>
      </c>
      <c r="I42" s="30">
        <v>0.625</v>
      </c>
      <c r="J42" s="30">
        <v>0.64861111111111114</v>
      </c>
    </row>
    <row r="43" spans="1:12" ht="88.2" x14ac:dyDescent="0.2">
      <c r="A43" s="22">
        <v>45783</v>
      </c>
      <c r="B43" s="22" t="s">
        <v>13</v>
      </c>
      <c r="C43" s="27" t="s">
        <v>14</v>
      </c>
      <c r="D43" s="27" t="s">
        <v>15</v>
      </c>
      <c r="E43" s="27" t="s">
        <v>19</v>
      </c>
      <c r="F43" s="27" t="s">
        <v>17</v>
      </c>
      <c r="G43" s="28" t="s">
        <v>166</v>
      </c>
      <c r="H43" s="29">
        <f t="shared" si="2"/>
        <v>1.8055555555555491E-2</v>
      </c>
      <c r="I43" s="30">
        <v>0.64861111111111114</v>
      </c>
      <c r="J43" s="30">
        <v>0.66666666666666663</v>
      </c>
    </row>
    <row r="44" spans="1:12" ht="25.2" x14ac:dyDescent="0.2">
      <c r="A44" s="22">
        <v>45783</v>
      </c>
      <c r="B44" s="22" t="s">
        <v>13</v>
      </c>
      <c r="C44" s="27" t="s">
        <v>14</v>
      </c>
      <c r="D44" s="27" t="s">
        <v>15</v>
      </c>
      <c r="E44" s="27" t="s">
        <v>16</v>
      </c>
      <c r="F44" s="27" t="s">
        <v>17</v>
      </c>
      <c r="G44" s="28" t="s">
        <v>74</v>
      </c>
      <c r="H44" s="29">
        <f t="shared" si="2"/>
        <v>4.5833333333333393E-2</v>
      </c>
      <c r="I44" s="30">
        <v>0.66666666666666663</v>
      </c>
      <c r="J44" s="30">
        <v>0.71250000000000002</v>
      </c>
      <c r="L44" s="66"/>
    </row>
    <row r="45" spans="1:12" ht="63" x14ac:dyDescent="0.2">
      <c r="A45" s="22">
        <v>45784</v>
      </c>
      <c r="B45" s="22" t="s">
        <v>30</v>
      </c>
      <c r="C45" s="27" t="s">
        <v>14</v>
      </c>
      <c r="D45" s="27" t="s">
        <v>15</v>
      </c>
      <c r="E45" s="27" t="s">
        <v>16</v>
      </c>
      <c r="F45" s="27" t="s">
        <v>17</v>
      </c>
      <c r="G45" s="28" t="s">
        <v>168</v>
      </c>
      <c r="H45" s="29">
        <f t="shared" si="0"/>
        <v>2.8472222222222177E-2</v>
      </c>
      <c r="I45" s="30">
        <v>0.32291666666666669</v>
      </c>
      <c r="J45" s="30">
        <v>0.35138888888888886</v>
      </c>
    </row>
    <row r="46" spans="1:12" ht="88.2" x14ac:dyDescent="0.2">
      <c r="A46" s="22">
        <v>45784</v>
      </c>
      <c r="B46" s="22" t="s">
        <v>30</v>
      </c>
      <c r="C46" s="27" t="s">
        <v>14</v>
      </c>
      <c r="D46" s="27" t="s">
        <v>15</v>
      </c>
      <c r="E46" s="27" t="s">
        <v>19</v>
      </c>
      <c r="F46" s="27" t="s">
        <v>17</v>
      </c>
      <c r="G46" s="28" t="s">
        <v>166</v>
      </c>
      <c r="H46" s="29">
        <f t="shared" ref="H46:H53" si="3">J46-I46</f>
        <v>6.5277777777777823E-2</v>
      </c>
      <c r="I46" s="30">
        <v>0.35138888888888886</v>
      </c>
      <c r="J46" s="30">
        <v>0.41666666666666669</v>
      </c>
    </row>
    <row r="47" spans="1:12" ht="88.2" x14ac:dyDescent="0.2">
      <c r="A47" s="22">
        <v>45784</v>
      </c>
      <c r="B47" s="22" t="s">
        <v>30</v>
      </c>
      <c r="C47" s="27" t="s">
        <v>14</v>
      </c>
      <c r="D47" s="27" t="s">
        <v>15</v>
      </c>
      <c r="E47" s="27" t="s">
        <v>19</v>
      </c>
      <c r="F47" s="27" t="s">
        <v>17</v>
      </c>
      <c r="G47" s="28" t="s">
        <v>166</v>
      </c>
      <c r="H47" s="29">
        <f t="shared" si="3"/>
        <v>7.5000000000000011E-2</v>
      </c>
      <c r="I47" s="30">
        <v>0.42708333333333331</v>
      </c>
      <c r="J47" s="30">
        <v>0.50208333333333333</v>
      </c>
    </row>
    <row r="48" spans="1:12" x14ac:dyDescent="0.2">
      <c r="A48" s="22">
        <v>45784</v>
      </c>
      <c r="B48" s="22" t="s">
        <v>30</v>
      </c>
      <c r="C48" s="27" t="s">
        <v>14</v>
      </c>
      <c r="D48" s="27" t="s">
        <v>15</v>
      </c>
      <c r="E48" s="27" t="s">
        <v>25</v>
      </c>
      <c r="F48" s="27" t="s">
        <v>17</v>
      </c>
      <c r="G48" s="28" t="s">
        <v>38</v>
      </c>
      <c r="H48" s="29">
        <f t="shared" si="3"/>
        <v>4.0277777777777746E-2</v>
      </c>
      <c r="I48" s="30">
        <v>0.50208333333333333</v>
      </c>
      <c r="J48" s="30">
        <v>0.54236111111111107</v>
      </c>
    </row>
    <row r="49" spans="1:12" ht="88.2" x14ac:dyDescent="0.2">
      <c r="A49" s="22">
        <v>45784</v>
      </c>
      <c r="B49" s="22" t="s">
        <v>30</v>
      </c>
      <c r="C49" s="27" t="s">
        <v>14</v>
      </c>
      <c r="D49" s="27" t="s">
        <v>15</v>
      </c>
      <c r="E49" s="123" t="s">
        <v>19</v>
      </c>
      <c r="F49" s="123" t="s">
        <v>17</v>
      </c>
      <c r="G49" s="28" t="s">
        <v>166</v>
      </c>
      <c r="H49" s="29">
        <f t="shared" si="3"/>
        <v>9.7222222222222987E-3</v>
      </c>
      <c r="I49" s="118">
        <v>0.54236111111111107</v>
      </c>
      <c r="J49" s="118">
        <v>0.55208333333333337</v>
      </c>
    </row>
    <row r="50" spans="1:12" x14ac:dyDescent="0.2">
      <c r="A50" s="22">
        <v>45784</v>
      </c>
      <c r="B50" s="22" t="s">
        <v>30</v>
      </c>
      <c r="C50" s="27" t="s">
        <v>14</v>
      </c>
      <c r="D50" s="27" t="s">
        <v>15</v>
      </c>
      <c r="E50" s="27" t="s">
        <v>16</v>
      </c>
      <c r="F50" s="27" t="s">
        <v>17</v>
      </c>
      <c r="G50" s="28" t="s">
        <v>169</v>
      </c>
      <c r="H50" s="29">
        <f t="shared" si="3"/>
        <v>2.777777777777779E-2</v>
      </c>
      <c r="I50" s="30">
        <v>0.55208333333333337</v>
      </c>
      <c r="J50" s="30">
        <v>0.57986111111111116</v>
      </c>
    </row>
    <row r="51" spans="1:12" ht="25.2" x14ac:dyDescent="0.2">
      <c r="A51" s="22">
        <v>45784</v>
      </c>
      <c r="B51" s="22" t="s">
        <v>30</v>
      </c>
      <c r="C51" s="27" t="s">
        <v>14</v>
      </c>
      <c r="D51" s="27" t="s">
        <v>15</v>
      </c>
      <c r="E51" s="27" t="s">
        <v>16</v>
      </c>
      <c r="F51" s="27" t="s">
        <v>17</v>
      </c>
      <c r="G51" s="28" t="s">
        <v>103</v>
      </c>
      <c r="H51" s="29">
        <f t="shared" si="3"/>
        <v>3.4722222222222099E-3</v>
      </c>
      <c r="I51" s="30">
        <v>0.57986111111111116</v>
      </c>
      <c r="J51" s="30">
        <v>0.58333333333333337</v>
      </c>
    </row>
    <row r="52" spans="1:12" ht="88.2" x14ac:dyDescent="0.2">
      <c r="A52" s="22">
        <v>45784</v>
      </c>
      <c r="B52" s="22" t="s">
        <v>30</v>
      </c>
      <c r="C52" s="27" t="s">
        <v>14</v>
      </c>
      <c r="D52" s="27" t="s">
        <v>15</v>
      </c>
      <c r="E52" s="27" t="s">
        <v>19</v>
      </c>
      <c r="F52" s="27" t="s">
        <v>17</v>
      </c>
      <c r="G52" s="28" t="s">
        <v>166</v>
      </c>
      <c r="H52" s="29">
        <f t="shared" si="3"/>
        <v>0.125</v>
      </c>
      <c r="I52" s="30">
        <v>0.54166666666666663</v>
      </c>
      <c r="J52" s="30">
        <v>0.66666666666666663</v>
      </c>
    </row>
    <row r="53" spans="1:12" ht="50.4" x14ac:dyDescent="0.2">
      <c r="A53" s="22">
        <v>45784</v>
      </c>
      <c r="B53" s="22" t="s">
        <v>30</v>
      </c>
      <c r="C53" s="27" t="s">
        <v>14</v>
      </c>
      <c r="D53" s="27" t="s">
        <v>15</v>
      </c>
      <c r="E53" s="27" t="s">
        <v>16</v>
      </c>
      <c r="F53" s="27" t="s">
        <v>17</v>
      </c>
      <c r="G53" s="28" t="s">
        <v>170</v>
      </c>
      <c r="H53" s="29">
        <f t="shared" si="3"/>
        <v>9.5138888888888884E-2</v>
      </c>
      <c r="I53" s="30">
        <v>0.66666666666666663</v>
      </c>
      <c r="J53" s="30">
        <v>0.76180555555555551</v>
      </c>
      <c r="K53" s="66"/>
    </row>
    <row r="54" spans="1:12" ht="63" x14ac:dyDescent="0.2">
      <c r="A54" s="22">
        <v>45785</v>
      </c>
      <c r="B54" s="22" t="s">
        <v>41</v>
      </c>
      <c r="C54" s="27" t="s">
        <v>14</v>
      </c>
      <c r="D54" s="27" t="s">
        <v>15</v>
      </c>
      <c r="E54" s="27" t="s">
        <v>16</v>
      </c>
      <c r="F54" s="27" t="s">
        <v>17</v>
      </c>
      <c r="G54" s="28" t="s">
        <v>147</v>
      </c>
      <c r="H54" s="29">
        <f t="shared" si="0"/>
        <v>2.2222222222222199E-2</v>
      </c>
      <c r="I54" s="30">
        <v>0.32500000000000001</v>
      </c>
      <c r="J54" s="30">
        <v>0.34722222222222221</v>
      </c>
    </row>
    <row r="55" spans="1:12" ht="75.599999999999994" x14ac:dyDescent="0.2">
      <c r="A55" s="22">
        <v>45785</v>
      </c>
      <c r="B55" s="22" t="s">
        <v>41</v>
      </c>
      <c r="C55" s="27" t="s">
        <v>14</v>
      </c>
      <c r="D55" s="27" t="s">
        <v>15</v>
      </c>
      <c r="E55" s="27" t="s">
        <v>19</v>
      </c>
      <c r="F55" s="27" t="s">
        <v>17</v>
      </c>
      <c r="G55" s="28" t="s">
        <v>171</v>
      </c>
      <c r="H55" s="29">
        <f t="shared" si="0"/>
        <v>4.8611111111111105E-2</v>
      </c>
      <c r="I55" s="30">
        <v>0.34722222222222221</v>
      </c>
      <c r="J55" s="30">
        <v>0.39583333333333331</v>
      </c>
    </row>
    <row r="56" spans="1:12" ht="37.799999999999997" x14ac:dyDescent="0.2">
      <c r="A56" s="22">
        <v>45785</v>
      </c>
      <c r="B56" s="22" t="s">
        <v>41</v>
      </c>
      <c r="C56" s="27" t="s">
        <v>14</v>
      </c>
      <c r="D56" s="27" t="s">
        <v>15</v>
      </c>
      <c r="E56" s="27" t="s">
        <v>16</v>
      </c>
      <c r="F56" s="27" t="s">
        <v>17</v>
      </c>
      <c r="G56" s="28" t="s">
        <v>172</v>
      </c>
      <c r="H56" s="29">
        <f t="shared" si="0"/>
        <v>2.9861111111111116E-2</v>
      </c>
      <c r="I56" s="30">
        <v>0.39583333333333331</v>
      </c>
      <c r="J56" s="30">
        <v>0.42569444444444443</v>
      </c>
    </row>
    <row r="57" spans="1:12" ht="75.599999999999994" x14ac:dyDescent="0.2">
      <c r="A57" s="22">
        <v>45785</v>
      </c>
      <c r="B57" s="22" t="s">
        <v>41</v>
      </c>
      <c r="C57" s="27" t="s">
        <v>14</v>
      </c>
      <c r="D57" s="27" t="s">
        <v>15</v>
      </c>
      <c r="E57" s="27" t="s">
        <v>19</v>
      </c>
      <c r="F57" s="27" t="s">
        <v>17</v>
      </c>
      <c r="G57" s="28" t="s">
        <v>171</v>
      </c>
      <c r="H57" s="29">
        <f t="shared" si="0"/>
        <v>3.2638888888888884E-2</v>
      </c>
      <c r="I57" s="30">
        <v>0.42569444444444443</v>
      </c>
      <c r="J57" s="30">
        <v>0.45833333333333331</v>
      </c>
    </row>
    <row r="58" spans="1:12" ht="25.2" x14ac:dyDescent="0.2">
      <c r="A58" s="22">
        <v>45785</v>
      </c>
      <c r="B58" s="22" t="s">
        <v>41</v>
      </c>
      <c r="C58" s="27" t="s">
        <v>14</v>
      </c>
      <c r="D58" s="27" t="s">
        <v>15</v>
      </c>
      <c r="E58" s="27" t="s">
        <v>16</v>
      </c>
      <c r="F58" s="27" t="s">
        <v>17</v>
      </c>
      <c r="G58" s="40" t="s">
        <v>148</v>
      </c>
      <c r="H58" s="29">
        <f t="shared" si="0"/>
        <v>1.0416666666666685E-2</v>
      </c>
      <c r="I58" s="30">
        <v>0.45833333333333331</v>
      </c>
      <c r="J58" s="30">
        <v>0.46875</v>
      </c>
    </row>
    <row r="59" spans="1:12" ht="75.599999999999994" x14ac:dyDescent="0.2">
      <c r="A59" s="22">
        <v>45785</v>
      </c>
      <c r="B59" s="22" t="s">
        <v>41</v>
      </c>
      <c r="C59" s="27" t="s">
        <v>14</v>
      </c>
      <c r="D59" s="27" t="s">
        <v>15</v>
      </c>
      <c r="E59" s="27" t="s">
        <v>19</v>
      </c>
      <c r="F59" s="27" t="s">
        <v>17</v>
      </c>
      <c r="G59" s="28" t="s">
        <v>171</v>
      </c>
      <c r="H59" s="29">
        <f t="shared" si="0"/>
        <v>3.4027777777777768E-2</v>
      </c>
      <c r="I59" s="30">
        <v>0.46875</v>
      </c>
      <c r="J59" s="30">
        <v>0.50277777777777777</v>
      </c>
    </row>
    <row r="60" spans="1:12" x14ac:dyDescent="0.2">
      <c r="A60" s="22">
        <v>45785</v>
      </c>
      <c r="B60" s="22" t="s">
        <v>41</v>
      </c>
      <c r="C60" s="27" t="s">
        <v>14</v>
      </c>
      <c r="D60" s="27" t="s">
        <v>15</v>
      </c>
      <c r="E60" s="27" t="s">
        <v>25</v>
      </c>
      <c r="F60" s="27" t="s">
        <v>17</v>
      </c>
      <c r="G60" s="28" t="s">
        <v>78</v>
      </c>
      <c r="H60" s="29">
        <f t="shared" si="0"/>
        <v>4.0277777777777746E-2</v>
      </c>
      <c r="I60" s="30">
        <v>0.50277777777777777</v>
      </c>
      <c r="J60" s="30">
        <v>0.54305555555555551</v>
      </c>
    </row>
    <row r="61" spans="1:12" ht="75.599999999999994" x14ac:dyDescent="0.2">
      <c r="A61" s="22">
        <v>45785</v>
      </c>
      <c r="B61" s="22" t="s">
        <v>41</v>
      </c>
      <c r="C61" s="27"/>
      <c r="D61" s="27"/>
      <c r="E61" s="27"/>
      <c r="F61" s="27"/>
      <c r="G61" s="28" t="s">
        <v>171</v>
      </c>
      <c r="H61" s="29">
        <f t="shared" si="0"/>
        <v>7.6388888888889728E-3</v>
      </c>
      <c r="I61" s="30">
        <v>0.54305555555555551</v>
      </c>
      <c r="J61" s="30">
        <v>0.55069444444444449</v>
      </c>
    </row>
    <row r="62" spans="1:12" ht="25.2" x14ac:dyDescent="0.2">
      <c r="A62" s="22">
        <v>45785</v>
      </c>
      <c r="B62" s="22" t="s">
        <v>41</v>
      </c>
      <c r="C62" s="27" t="s">
        <v>14</v>
      </c>
      <c r="D62" s="27" t="s">
        <v>15</v>
      </c>
      <c r="E62" s="27" t="s">
        <v>16</v>
      </c>
      <c r="F62" s="27" t="s">
        <v>17</v>
      </c>
      <c r="G62" s="28" t="s">
        <v>103</v>
      </c>
      <c r="H62" s="29">
        <f t="shared" si="0"/>
        <v>4.1666666666666519E-3</v>
      </c>
      <c r="I62" s="30">
        <v>0.55069444444444449</v>
      </c>
      <c r="J62" s="30">
        <v>0.55486111111111114</v>
      </c>
    </row>
    <row r="63" spans="1:12" ht="75.599999999999994" x14ac:dyDescent="0.2">
      <c r="A63" s="22">
        <v>45785</v>
      </c>
      <c r="B63" s="22" t="s">
        <v>41</v>
      </c>
      <c r="C63" s="27" t="s">
        <v>14</v>
      </c>
      <c r="D63" s="27" t="s">
        <v>15</v>
      </c>
      <c r="E63" s="27" t="s">
        <v>19</v>
      </c>
      <c r="F63" s="27" t="s">
        <v>17</v>
      </c>
      <c r="G63" s="28" t="s">
        <v>171</v>
      </c>
      <c r="H63" s="29">
        <f t="shared" si="0"/>
        <v>0.11180555555555549</v>
      </c>
      <c r="I63" s="30">
        <v>0.55486111111111114</v>
      </c>
      <c r="J63" s="30">
        <v>0.66666666666666663</v>
      </c>
    </row>
    <row r="64" spans="1:12" ht="37.799999999999997" x14ac:dyDescent="0.2">
      <c r="A64" s="22">
        <v>45785</v>
      </c>
      <c r="B64" s="22" t="s">
        <v>41</v>
      </c>
      <c r="C64" s="27" t="s">
        <v>14</v>
      </c>
      <c r="D64" s="27" t="s">
        <v>15</v>
      </c>
      <c r="E64" s="27" t="s">
        <v>16</v>
      </c>
      <c r="F64" s="27" t="s">
        <v>17</v>
      </c>
      <c r="G64" s="28" t="s">
        <v>173</v>
      </c>
      <c r="H64" s="29">
        <f t="shared" si="0"/>
        <v>3.8194444444444531E-2</v>
      </c>
      <c r="I64" s="30">
        <v>0.66666666666666663</v>
      </c>
      <c r="J64" s="30">
        <v>0.70486111111111116</v>
      </c>
      <c r="L64" s="66"/>
    </row>
    <row r="65" spans="1:12" ht="63" x14ac:dyDescent="0.2">
      <c r="A65" s="22">
        <v>45786</v>
      </c>
      <c r="B65" s="22" t="s">
        <v>50</v>
      </c>
      <c r="C65" s="27" t="s">
        <v>14</v>
      </c>
      <c r="D65" s="27" t="s">
        <v>15</v>
      </c>
      <c r="E65" s="27" t="s">
        <v>16</v>
      </c>
      <c r="F65" s="27" t="s">
        <v>17</v>
      </c>
      <c r="G65" s="28" t="s">
        <v>147</v>
      </c>
      <c r="H65" s="29">
        <f t="shared" si="0"/>
        <v>1.9444444444444431E-2</v>
      </c>
      <c r="I65" s="30">
        <v>0.32500000000000001</v>
      </c>
      <c r="J65" s="30">
        <v>0.34444444444444444</v>
      </c>
    </row>
    <row r="66" spans="1:12" ht="88.2" x14ac:dyDescent="0.2">
      <c r="A66" s="22">
        <v>45786</v>
      </c>
      <c r="B66" s="22" t="s">
        <v>50</v>
      </c>
      <c r="C66" s="27" t="s">
        <v>14</v>
      </c>
      <c r="D66" s="27" t="s">
        <v>15</v>
      </c>
      <c r="E66" s="27" t="s">
        <v>19</v>
      </c>
      <c r="F66" s="27" t="s">
        <v>17</v>
      </c>
      <c r="G66" s="28" t="s">
        <v>166</v>
      </c>
      <c r="H66" s="29">
        <f t="shared" ref="H66:H70" si="4">J66-I66</f>
        <v>0.11388888888888887</v>
      </c>
      <c r="I66" s="30">
        <v>0.34444444444444444</v>
      </c>
      <c r="J66" s="30">
        <v>0.45833333333333331</v>
      </c>
    </row>
    <row r="67" spans="1:12" ht="25.2" x14ac:dyDescent="0.2">
      <c r="A67" s="22">
        <v>45786</v>
      </c>
      <c r="B67" s="22" t="s">
        <v>50</v>
      </c>
      <c r="C67" s="27" t="s">
        <v>14</v>
      </c>
      <c r="D67" s="27" t="s">
        <v>15</v>
      </c>
      <c r="E67" s="27" t="s">
        <v>16</v>
      </c>
      <c r="F67" s="27" t="s">
        <v>17</v>
      </c>
      <c r="G67" s="40" t="s">
        <v>174</v>
      </c>
      <c r="H67" s="29">
        <f t="shared" si="4"/>
        <v>4.5138888888888895E-2</v>
      </c>
      <c r="I67" s="30">
        <v>0.45833333333333331</v>
      </c>
      <c r="J67" s="30">
        <v>0.50347222222222221</v>
      </c>
    </row>
    <row r="68" spans="1:12" x14ac:dyDescent="0.2">
      <c r="A68" s="22">
        <v>45786</v>
      </c>
      <c r="B68" s="22" t="s">
        <v>50</v>
      </c>
      <c r="C68" s="27" t="s">
        <v>14</v>
      </c>
      <c r="D68" s="27" t="s">
        <v>15</v>
      </c>
      <c r="E68" s="27" t="s">
        <v>25</v>
      </c>
      <c r="F68" s="27" t="s">
        <v>17</v>
      </c>
      <c r="G68" s="28" t="s">
        <v>26</v>
      </c>
      <c r="H68" s="29">
        <f t="shared" si="4"/>
        <v>4.0277777777777746E-2</v>
      </c>
      <c r="I68" s="30">
        <v>0.50347222222222221</v>
      </c>
      <c r="J68" s="30">
        <v>0.54374999999999996</v>
      </c>
    </row>
    <row r="69" spans="1:12" ht="50.4" x14ac:dyDescent="0.2">
      <c r="A69" s="22">
        <v>45786</v>
      </c>
      <c r="B69" s="22" t="s">
        <v>50</v>
      </c>
      <c r="C69" s="27" t="s">
        <v>14</v>
      </c>
      <c r="D69" s="27" t="s">
        <v>15</v>
      </c>
      <c r="E69" s="27" t="s">
        <v>19</v>
      </c>
      <c r="F69" s="27" t="s">
        <v>17</v>
      </c>
      <c r="G69" s="28" t="s">
        <v>175</v>
      </c>
      <c r="H69" s="29">
        <f t="shared" si="4"/>
        <v>0.12291666666666667</v>
      </c>
      <c r="I69" s="30">
        <v>0.54374999999999996</v>
      </c>
      <c r="J69" s="30">
        <v>0.66666666666666663</v>
      </c>
    </row>
    <row r="70" spans="1:12" ht="25.2" x14ac:dyDescent="0.2">
      <c r="A70" s="22">
        <v>45786</v>
      </c>
      <c r="B70" s="22" t="s">
        <v>50</v>
      </c>
      <c r="C70" s="27" t="s">
        <v>14</v>
      </c>
      <c r="D70" s="27" t="s">
        <v>15</v>
      </c>
      <c r="E70" s="27" t="s">
        <v>16</v>
      </c>
      <c r="F70" s="27" t="s">
        <v>17</v>
      </c>
      <c r="G70" s="28" t="s">
        <v>176</v>
      </c>
      <c r="H70" s="29">
        <f t="shared" si="4"/>
        <v>6.25E-2</v>
      </c>
      <c r="I70" s="30">
        <v>0.66666666666666663</v>
      </c>
      <c r="J70" s="30">
        <v>0.72916666666666663</v>
      </c>
      <c r="L70" s="66"/>
    </row>
    <row r="71" spans="1:12" x14ac:dyDescent="0.2">
      <c r="A71" s="31">
        <v>45787</v>
      </c>
      <c r="B71" s="31" t="s">
        <v>58</v>
      </c>
      <c r="C71" s="32"/>
      <c r="D71" s="32"/>
      <c r="E71" s="32"/>
      <c r="F71" s="32"/>
      <c r="G71" s="33"/>
      <c r="H71" s="34">
        <f t="shared" si="0"/>
        <v>0</v>
      </c>
      <c r="I71" s="35"/>
      <c r="J71" s="35"/>
    </row>
    <row r="72" spans="1:12" x14ac:dyDescent="0.2">
      <c r="A72" s="31">
        <v>45788</v>
      </c>
      <c r="B72" s="31" t="s">
        <v>59</v>
      </c>
      <c r="C72" s="32"/>
      <c r="D72" s="32"/>
      <c r="E72" s="32"/>
      <c r="F72" s="32"/>
      <c r="G72" s="33"/>
      <c r="H72" s="34">
        <f t="shared" si="0"/>
        <v>0</v>
      </c>
      <c r="I72" s="35"/>
      <c r="J72" s="35"/>
    </row>
    <row r="73" spans="1:12" ht="63" x14ac:dyDescent="0.2">
      <c r="A73" s="22">
        <v>45789</v>
      </c>
      <c r="B73" s="22" t="s">
        <v>60</v>
      </c>
      <c r="C73" s="27" t="s">
        <v>14</v>
      </c>
      <c r="D73" s="27" t="s">
        <v>15</v>
      </c>
      <c r="E73" s="27" t="s">
        <v>16</v>
      </c>
      <c r="F73" s="27" t="s">
        <v>17</v>
      </c>
      <c r="G73" s="28" t="s">
        <v>147</v>
      </c>
      <c r="H73" s="29">
        <f t="shared" si="0"/>
        <v>1.7361111111111105E-2</v>
      </c>
      <c r="I73" s="30">
        <v>0.32500000000000001</v>
      </c>
      <c r="J73" s="30">
        <v>0.34236111111111112</v>
      </c>
    </row>
    <row r="74" spans="1:12" ht="63" x14ac:dyDescent="0.2">
      <c r="A74" s="22">
        <v>45789</v>
      </c>
      <c r="B74" s="22" t="s">
        <v>60</v>
      </c>
      <c r="C74" s="27" t="s">
        <v>14</v>
      </c>
      <c r="D74" s="27" t="s">
        <v>15</v>
      </c>
      <c r="E74" s="27" t="s">
        <v>19</v>
      </c>
      <c r="F74" s="27" t="s">
        <v>17</v>
      </c>
      <c r="G74" s="28" t="s">
        <v>177</v>
      </c>
      <c r="H74" s="29">
        <f t="shared" si="0"/>
        <v>7.4305555555555569E-2</v>
      </c>
      <c r="I74" s="30">
        <v>0.34236111111111112</v>
      </c>
      <c r="J74" s="30">
        <v>0.41666666666666669</v>
      </c>
    </row>
    <row r="75" spans="1:12" ht="25.2" x14ac:dyDescent="0.2">
      <c r="A75" s="22">
        <v>45789</v>
      </c>
      <c r="B75" s="22" t="s">
        <v>60</v>
      </c>
      <c r="C75" s="27" t="s">
        <v>14</v>
      </c>
      <c r="D75" s="27" t="s">
        <v>15</v>
      </c>
      <c r="E75" s="27" t="s">
        <v>16</v>
      </c>
      <c r="F75" s="27" t="s">
        <v>17</v>
      </c>
      <c r="G75" s="28" t="s">
        <v>103</v>
      </c>
      <c r="H75" s="29">
        <f t="shared" si="0"/>
        <v>1.1805555555555514E-2</v>
      </c>
      <c r="I75" s="30">
        <v>0.41666666666666669</v>
      </c>
      <c r="J75" s="30">
        <v>0.4284722222222222</v>
      </c>
    </row>
    <row r="76" spans="1:12" ht="63" x14ac:dyDescent="0.2">
      <c r="A76" s="22">
        <v>45789</v>
      </c>
      <c r="B76" s="22" t="s">
        <v>60</v>
      </c>
      <c r="C76" s="27" t="s">
        <v>14</v>
      </c>
      <c r="D76" s="27" t="s">
        <v>15</v>
      </c>
      <c r="E76" s="27" t="s">
        <v>19</v>
      </c>
      <c r="F76" s="27" t="s">
        <v>17</v>
      </c>
      <c r="G76" s="28" t="s">
        <v>177</v>
      </c>
      <c r="H76" s="29">
        <f t="shared" si="0"/>
        <v>2.9861111111111116E-2</v>
      </c>
      <c r="I76" s="30">
        <v>0.4284722222222222</v>
      </c>
      <c r="J76" s="30">
        <v>0.45833333333333331</v>
      </c>
    </row>
    <row r="77" spans="1:12" ht="25.2" x14ac:dyDescent="0.2">
      <c r="A77" s="22">
        <v>45789</v>
      </c>
      <c r="B77" s="22" t="s">
        <v>60</v>
      </c>
      <c r="C77" s="27" t="s">
        <v>14</v>
      </c>
      <c r="D77" s="27" t="s">
        <v>15</v>
      </c>
      <c r="E77" s="27" t="s">
        <v>16</v>
      </c>
      <c r="F77" s="27" t="s">
        <v>17</v>
      </c>
      <c r="G77" s="28" t="s">
        <v>174</v>
      </c>
      <c r="H77" s="29">
        <f t="shared" si="0"/>
        <v>6.9444444444444753E-3</v>
      </c>
      <c r="I77" s="30">
        <v>0.45833333333333331</v>
      </c>
      <c r="J77" s="30">
        <v>0.46527777777777779</v>
      </c>
    </row>
    <row r="78" spans="1:12" ht="63" x14ac:dyDescent="0.2">
      <c r="A78" s="22">
        <v>45789</v>
      </c>
      <c r="B78" s="22" t="s">
        <v>60</v>
      </c>
      <c r="C78" s="27" t="s">
        <v>14</v>
      </c>
      <c r="D78" s="27" t="s">
        <v>15</v>
      </c>
      <c r="E78" s="27" t="s">
        <v>19</v>
      </c>
      <c r="F78" s="27" t="s">
        <v>17</v>
      </c>
      <c r="G78" s="28" t="s">
        <v>177</v>
      </c>
      <c r="H78" s="29">
        <f t="shared" si="0"/>
        <v>3.819444444444442E-2</v>
      </c>
      <c r="I78" s="30">
        <v>0.46527777777777779</v>
      </c>
      <c r="J78" s="30">
        <v>0.50347222222222221</v>
      </c>
    </row>
    <row r="79" spans="1:12" x14ac:dyDescent="0.2">
      <c r="A79" s="22">
        <v>45789</v>
      </c>
      <c r="B79" s="22" t="s">
        <v>60</v>
      </c>
      <c r="C79" s="27" t="s">
        <v>14</v>
      </c>
      <c r="D79" s="27" t="s">
        <v>15</v>
      </c>
      <c r="E79" s="27" t="s">
        <v>25</v>
      </c>
      <c r="F79" s="27" t="s">
        <v>17</v>
      </c>
      <c r="G79" s="27" t="s">
        <v>26</v>
      </c>
      <c r="H79" s="29">
        <f t="shared" si="0"/>
        <v>4.0972222222222188E-2</v>
      </c>
      <c r="I79" s="30">
        <v>0.50347222222222221</v>
      </c>
      <c r="J79" s="30">
        <v>0.5444444444444444</v>
      </c>
    </row>
    <row r="80" spans="1:12" ht="63" x14ac:dyDescent="0.2">
      <c r="A80" s="22">
        <v>45789</v>
      </c>
      <c r="B80" s="22" t="s">
        <v>60</v>
      </c>
      <c r="C80" s="27" t="s">
        <v>14</v>
      </c>
      <c r="D80" s="27" t="s">
        <v>15</v>
      </c>
      <c r="E80" s="27" t="s">
        <v>19</v>
      </c>
      <c r="F80" s="27" t="s">
        <v>17</v>
      </c>
      <c r="G80" s="28" t="s">
        <v>177</v>
      </c>
      <c r="H80" s="29">
        <f t="shared" si="0"/>
        <v>1.8055555555555602E-2</v>
      </c>
      <c r="I80" s="30">
        <v>0.5444444444444444</v>
      </c>
      <c r="J80" s="30">
        <v>0.5625</v>
      </c>
    </row>
    <row r="81" spans="1:12" x14ac:dyDescent="0.2">
      <c r="A81" s="22">
        <v>45789</v>
      </c>
      <c r="B81" s="22" t="s">
        <v>60</v>
      </c>
      <c r="C81" s="27" t="s">
        <v>14</v>
      </c>
      <c r="D81" s="27" t="s">
        <v>15</v>
      </c>
      <c r="E81" s="27" t="s">
        <v>16</v>
      </c>
      <c r="F81" s="27" t="s">
        <v>17</v>
      </c>
      <c r="G81" s="27" t="s">
        <v>178</v>
      </c>
      <c r="H81" s="29">
        <f t="shared" si="0"/>
        <v>6.9444444444444198E-3</v>
      </c>
      <c r="I81" s="30">
        <v>0.5625</v>
      </c>
      <c r="J81" s="30">
        <v>0.56944444444444442</v>
      </c>
    </row>
    <row r="82" spans="1:12" ht="75.599999999999994" x14ac:dyDescent="0.2">
      <c r="A82" s="22">
        <v>45789</v>
      </c>
      <c r="B82" s="22" t="s">
        <v>60</v>
      </c>
      <c r="C82" s="27" t="s">
        <v>14</v>
      </c>
      <c r="D82" s="27" t="s">
        <v>15</v>
      </c>
      <c r="E82" s="27" t="s">
        <v>19</v>
      </c>
      <c r="F82" s="27" t="s">
        <v>17</v>
      </c>
      <c r="G82" s="28" t="s">
        <v>179</v>
      </c>
      <c r="H82" s="29">
        <f t="shared" si="0"/>
        <v>9.722222222222221E-2</v>
      </c>
      <c r="I82" s="30">
        <v>0.56944444444444442</v>
      </c>
      <c r="J82" s="30">
        <v>0.66666666666666663</v>
      </c>
    </row>
    <row r="83" spans="1:12" ht="25.2" x14ac:dyDescent="0.2">
      <c r="A83" s="22">
        <v>45789</v>
      </c>
      <c r="B83" s="22" t="s">
        <v>60</v>
      </c>
      <c r="C83" s="27" t="s">
        <v>14</v>
      </c>
      <c r="D83" s="27" t="s">
        <v>15</v>
      </c>
      <c r="E83" s="27" t="s">
        <v>16</v>
      </c>
      <c r="F83" s="27" t="s">
        <v>17</v>
      </c>
      <c r="G83" s="40" t="s">
        <v>74</v>
      </c>
      <c r="H83" s="29">
        <f t="shared" si="0"/>
        <v>7.6388888888888951E-2</v>
      </c>
      <c r="I83" s="30">
        <v>0.66666666666666663</v>
      </c>
      <c r="J83" s="30">
        <v>0.74305555555555558</v>
      </c>
      <c r="L83" s="66"/>
    </row>
    <row r="84" spans="1:12" ht="63" x14ac:dyDescent="0.2">
      <c r="A84" s="22">
        <v>45790</v>
      </c>
      <c r="B84" s="22" t="s">
        <v>13</v>
      </c>
      <c r="C84" s="27" t="s">
        <v>14</v>
      </c>
      <c r="D84" s="27" t="s">
        <v>15</v>
      </c>
      <c r="E84" s="27" t="s">
        <v>16</v>
      </c>
      <c r="F84" s="27" t="s">
        <v>17</v>
      </c>
      <c r="G84" s="28" t="s">
        <v>147</v>
      </c>
      <c r="H84" s="29">
        <f t="shared" si="0"/>
        <v>1.9444444444444431E-2</v>
      </c>
      <c r="I84" s="30">
        <v>0.32500000000000001</v>
      </c>
      <c r="J84" s="30">
        <v>0.34444444444444444</v>
      </c>
    </row>
    <row r="85" spans="1:12" ht="63" x14ac:dyDescent="0.2">
      <c r="A85" s="22">
        <v>45790</v>
      </c>
      <c r="B85" s="22" t="s">
        <v>13</v>
      </c>
      <c r="C85" s="27" t="s">
        <v>14</v>
      </c>
      <c r="D85" s="27" t="s">
        <v>15</v>
      </c>
      <c r="E85" s="27" t="s">
        <v>19</v>
      </c>
      <c r="F85" s="27" t="s">
        <v>17</v>
      </c>
      <c r="G85" s="28" t="s">
        <v>177</v>
      </c>
      <c r="H85" s="29">
        <f t="shared" si="0"/>
        <v>9.7222222222222432E-3</v>
      </c>
      <c r="I85" s="30">
        <v>0.34444444444444444</v>
      </c>
      <c r="J85" s="30">
        <v>0.35416666666666669</v>
      </c>
    </row>
    <row r="86" spans="1:12" ht="25.2" x14ac:dyDescent="0.2">
      <c r="A86" s="22">
        <v>45790</v>
      </c>
      <c r="B86" s="22" t="s">
        <v>13</v>
      </c>
      <c r="C86" s="27" t="s">
        <v>14</v>
      </c>
      <c r="D86" s="27" t="s">
        <v>15</v>
      </c>
      <c r="E86" s="27" t="s">
        <v>16</v>
      </c>
      <c r="F86" s="27" t="s">
        <v>17</v>
      </c>
      <c r="G86" s="28" t="s">
        <v>103</v>
      </c>
      <c r="H86" s="29">
        <f t="shared" si="0"/>
        <v>4.1666666666666519E-3</v>
      </c>
      <c r="I86" s="30">
        <v>0.35416666666666669</v>
      </c>
      <c r="J86" s="30">
        <v>0.35833333333333334</v>
      </c>
    </row>
    <row r="87" spans="1:12" ht="63" x14ac:dyDescent="0.2">
      <c r="A87" s="22">
        <v>45790</v>
      </c>
      <c r="B87" s="22" t="s">
        <v>13</v>
      </c>
      <c r="C87" s="27" t="s">
        <v>14</v>
      </c>
      <c r="D87" s="27" t="s">
        <v>15</v>
      </c>
      <c r="E87" s="27" t="s">
        <v>19</v>
      </c>
      <c r="F87" s="27" t="s">
        <v>17</v>
      </c>
      <c r="G87" s="28" t="s">
        <v>177</v>
      </c>
      <c r="H87" s="29">
        <f t="shared" si="0"/>
        <v>9.9999999999999978E-2</v>
      </c>
      <c r="I87" s="30">
        <v>0.35833333333333334</v>
      </c>
      <c r="J87" s="30">
        <v>0.45833333333333331</v>
      </c>
    </row>
    <row r="88" spans="1:12" ht="37.799999999999997" x14ac:dyDescent="0.2">
      <c r="A88" s="22">
        <v>45790</v>
      </c>
      <c r="B88" s="22" t="s">
        <v>13</v>
      </c>
      <c r="C88" s="27" t="s">
        <v>14</v>
      </c>
      <c r="D88" s="27" t="s">
        <v>15</v>
      </c>
      <c r="E88" s="27" t="s">
        <v>133</v>
      </c>
      <c r="F88" s="27" t="s">
        <v>17</v>
      </c>
      <c r="G88" s="28" t="s">
        <v>180</v>
      </c>
      <c r="H88" s="29">
        <f t="shared" si="0"/>
        <v>4.7222222222222221E-2</v>
      </c>
      <c r="I88" s="30">
        <v>0.45833333333333331</v>
      </c>
      <c r="J88" s="30">
        <v>0.50555555555555554</v>
      </c>
    </row>
    <row r="89" spans="1:12" x14ac:dyDescent="0.2">
      <c r="A89" s="22">
        <v>45790</v>
      </c>
      <c r="B89" s="22" t="s">
        <v>13</v>
      </c>
      <c r="C89" s="27" t="s">
        <v>14</v>
      </c>
      <c r="D89" s="27" t="s">
        <v>15</v>
      </c>
      <c r="E89" s="27" t="s">
        <v>25</v>
      </c>
      <c r="F89" s="27" t="s">
        <v>17</v>
      </c>
      <c r="G89" s="28" t="s">
        <v>47</v>
      </c>
      <c r="H89" s="29">
        <f t="shared" si="0"/>
        <v>3.9583333333333304E-2</v>
      </c>
      <c r="I89" s="30">
        <v>0.50555555555555554</v>
      </c>
      <c r="J89" s="30">
        <v>0.54513888888888884</v>
      </c>
    </row>
    <row r="90" spans="1:12" ht="63" x14ac:dyDescent="0.2">
      <c r="A90" s="22">
        <v>45790</v>
      </c>
      <c r="B90" s="22" t="s">
        <v>13</v>
      </c>
      <c r="C90" s="27" t="s">
        <v>14</v>
      </c>
      <c r="D90" s="27" t="s">
        <v>15</v>
      </c>
      <c r="E90" s="27" t="s">
        <v>19</v>
      </c>
      <c r="F90" s="27" t="s">
        <v>17</v>
      </c>
      <c r="G90" s="28" t="s">
        <v>177</v>
      </c>
      <c r="H90" s="29">
        <f t="shared" si="0"/>
        <v>0.12152777777777779</v>
      </c>
      <c r="I90" s="30">
        <v>0.54513888888888884</v>
      </c>
      <c r="J90" s="30">
        <v>0.66666666666666663</v>
      </c>
    </row>
    <row r="91" spans="1:12" ht="50.4" x14ac:dyDescent="0.2">
      <c r="A91" s="22">
        <v>45790</v>
      </c>
      <c r="B91" s="22" t="s">
        <v>13</v>
      </c>
      <c r="C91" s="27" t="s">
        <v>14</v>
      </c>
      <c r="D91" s="27" t="s">
        <v>15</v>
      </c>
      <c r="E91" s="27" t="s">
        <v>16</v>
      </c>
      <c r="F91" s="27" t="s">
        <v>17</v>
      </c>
      <c r="G91" s="40" t="s">
        <v>181</v>
      </c>
      <c r="H91" s="29">
        <f t="shared" si="0"/>
        <v>7.7777777777777501E-2</v>
      </c>
      <c r="I91" s="30">
        <v>0.66666666666666696</v>
      </c>
      <c r="J91" s="30">
        <v>0.74444444444444446</v>
      </c>
      <c r="K91" s="66"/>
    </row>
    <row r="92" spans="1:12" ht="63" x14ac:dyDescent="0.2">
      <c r="A92" s="22">
        <v>45791</v>
      </c>
      <c r="B92" s="22" t="s">
        <v>30</v>
      </c>
      <c r="C92" s="27" t="s">
        <v>14</v>
      </c>
      <c r="D92" s="27" t="s">
        <v>15</v>
      </c>
      <c r="E92" s="27" t="s">
        <v>16</v>
      </c>
      <c r="F92" s="27" t="s">
        <v>17</v>
      </c>
      <c r="G92" s="28" t="s">
        <v>182</v>
      </c>
      <c r="H92" s="29">
        <f t="shared" si="0"/>
        <v>1.2500000000000011E-2</v>
      </c>
      <c r="I92" s="30">
        <v>0.32430555555555557</v>
      </c>
      <c r="J92" s="30">
        <v>0.33680555555555558</v>
      </c>
    </row>
    <row r="93" spans="1:12" ht="63" x14ac:dyDescent="0.2">
      <c r="A93" s="22">
        <v>45791</v>
      </c>
      <c r="B93" s="22" t="s">
        <v>30</v>
      </c>
      <c r="C93" s="27" t="s">
        <v>14</v>
      </c>
      <c r="D93" s="27" t="s">
        <v>15</v>
      </c>
      <c r="E93" s="27" t="s">
        <v>19</v>
      </c>
      <c r="F93" s="27" t="s">
        <v>17</v>
      </c>
      <c r="G93" s="28" t="s">
        <v>177</v>
      </c>
      <c r="H93" s="29">
        <f t="shared" si="0"/>
        <v>7.9861111111111105E-2</v>
      </c>
      <c r="I93" s="30">
        <v>0.33680555555555558</v>
      </c>
      <c r="J93" s="30">
        <v>0.41666666666666669</v>
      </c>
    </row>
    <row r="94" spans="1:12" ht="25.2" x14ac:dyDescent="0.2">
      <c r="A94" s="22">
        <v>45791</v>
      </c>
      <c r="B94" s="22" t="s">
        <v>30</v>
      </c>
      <c r="C94" s="27" t="s">
        <v>14</v>
      </c>
      <c r="D94" s="27" t="s">
        <v>15</v>
      </c>
      <c r="E94" s="27" t="s">
        <v>16</v>
      </c>
      <c r="F94" s="27" t="s">
        <v>17</v>
      </c>
      <c r="G94" s="28" t="s">
        <v>103</v>
      </c>
      <c r="H94" s="29">
        <f t="shared" si="0"/>
        <v>6.9444444444444198E-3</v>
      </c>
      <c r="I94" s="30">
        <v>0.41666666666666669</v>
      </c>
      <c r="J94" s="30">
        <v>0.4236111111111111</v>
      </c>
    </row>
    <row r="95" spans="1:12" ht="63" x14ac:dyDescent="0.2">
      <c r="A95" s="22">
        <v>45791</v>
      </c>
      <c r="B95" s="22" t="s">
        <v>30</v>
      </c>
      <c r="C95" s="27" t="s">
        <v>14</v>
      </c>
      <c r="D95" s="27" t="s">
        <v>15</v>
      </c>
      <c r="E95" s="27" t="s">
        <v>19</v>
      </c>
      <c r="F95" s="27" t="s">
        <v>17</v>
      </c>
      <c r="G95" s="28" t="s">
        <v>177</v>
      </c>
      <c r="H95" s="29">
        <f t="shared" si="0"/>
        <v>3.472222222222221E-2</v>
      </c>
      <c r="I95" s="30">
        <v>0.4236111111111111</v>
      </c>
      <c r="J95" s="30">
        <v>0.45833333333333331</v>
      </c>
    </row>
    <row r="96" spans="1:12" ht="25.2" x14ac:dyDescent="0.2">
      <c r="A96" s="22">
        <v>45791</v>
      </c>
      <c r="B96" s="22" t="s">
        <v>30</v>
      </c>
      <c r="C96" s="27" t="s">
        <v>14</v>
      </c>
      <c r="D96" s="27" t="s">
        <v>15</v>
      </c>
      <c r="E96" s="27" t="s">
        <v>16</v>
      </c>
      <c r="F96" s="27" t="s">
        <v>17</v>
      </c>
      <c r="G96" s="28" t="s">
        <v>174</v>
      </c>
      <c r="H96" s="29">
        <f t="shared" si="0"/>
        <v>3.4722222222222265E-2</v>
      </c>
      <c r="I96" s="30">
        <v>0.45833333333333331</v>
      </c>
      <c r="J96" s="30">
        <v>0.49305555555555558</v>
      </c>
    </row>
    <row r="97" spans="1:12" ht="63" x14ac:dyDescent="0.2">
      <c r="A97" s="22">
        <v>45791</v>
      </c>
      <c r="B97" s="22" t="s">
        <v>30</v>
      </c>
      <c r="C97" s="27" t="s">
        <v>14</v>
      </c>
      <c r="D97" s="27" t="s">
        <v>15</v>
      </c>
      <c r="E97" s="27" t="s">
        <v>19</v>
      </c>
      <c r="F97" s="27"/>
      <c r="G97" s="28" t="s">
        <v>177</v>
      </c>
      <c r="H97" s="29">
        <f t="shared" si="0"/>
        <v>9.0277777777777457E-3</v>
      </c>
      <c r="I97" s="30">
        <v>0.49305555555555558</v>
      </c>
      <c r="J97" s="30">
        <v>0.50208333333333333</v>
      </c>
    </row>
    <row r="98" spans="1:12" x14ac:dyDescent="0.2">
      <c r="A98" s="22">
        <v>45791</v>
      </c>
      <c r="B98" s="22" t="s">
        <v>30</v>
      </c>
      <c r="C98" s="27" t="s">
        <v>14</v>
      </c>
      <c r="D98" s="27" t="s">
        <v>15</v>
      </c>
      <c r="E98" s="27" t="s">
        <v>25</v>
      </c>
      <c r="F98" s="27" t="s">
        <v>17</v>
      </c>
      <c r="G98" s="27" t="s">
        <v>38</v>
      </c>
      <c r="H98" s="29">
        <f t="shared" si="0"/>
        <v>3.9583333333333304E-2</v>
      </c>
      <c r="I98" s="30">
        <v>0.50208333333333333</v>
      </c>
      <c r="J98" s="30">
        <v>0.54166666666666663</v>
      </c>
    </row>
    <row r="99" spans="1:12" ht="75.599999999999994" x14ac:dyDescent="0.2">
      <c r="A99" s="22">
        <v>45791</v>
      </c>
      <c r="B99" s="22" t="s">
        <v>30</v>
      </c>
      <c r="C99" s="27" t="s">
        <v>14</v>
      </c>
      <c r="D99" s="27" t="s">
        <v>15</v>
      </c>
      <c r="E99" s="27" t="s">
        <v>19</v>
      </c>
      <c r="F99" s="27" t="s">
        <v>17</v>
      </c>
      <c r="G99" s="28" t="s">
        <v>179</v>
      </c>
      <c r="H99" s="29">
        <f t="shared" si="0"/>
        <v>0.125</v>
      </c>
      <c r="I99" s="30">
        <v>0.54166666666666663</v>
      </c>
      <c r="J99" s="30">
        <v>0.66666666666666663</v>
      </c>
    </row>
    <row r="100" spans="1:12" ht="50.4" x14ac:dyDescent="0.2">
      <c r="A100" s="22">
        <v>45791</v>
      </c>
      <c r="B100" s="22" t="s">
        <v>30</v>
      </c>
      <c r="C100" s="27" t="s">
        <v>14</v>
      </c>
      <c r="D100" s="27" t="s">
        <v>15</v>
      </c>
      <c r="E100" s="27" t="s">
        <v>16</v>
      </c>
      <c r="F100" s="27" t="s">
        <v>17</v>
      </c>
      <c r="G100" s="40" t="s">
        <v>183</v>
      </c>
      <c r="H100" s="29">
        <f t="shared" si="0"/>
        <v>7.9166666666666718E-2</v>
      </c>
      <c r="I100" s="30">
        <v>0.66666666666666663</v>
      </c>
      <c r="J100" s="30">
        <v>0.74583333333333335</v>
      </c>
      <c r="L100" s="66"/>
    </row>
    <row r="101" spans="1:12" ht="63" x14ac:dyDescent="0.2">
      <c r="A101" s="22">
        <v>45792</v>
      </c>
      <c r="B101" s="22" t="s">
        <v>41</v>
      </c>
      <c r="C101" s="27" t="s">
        <v>14</v>
      </c>
      <c r="D101" s="27" t="s">
        <v>15</v>
      </c>
      <c r="E101" s="27" t="s">
        <v>16</v>
      </c>
      <c r="F101" s="27" t="s">
        <v>17</v>
      </c>
      <c r="G101" s="28" t="s">
        <v>182</v>
      </c>
      <c r="H101" s="29">
        <f t="shared" si="0"/>
        <v>1.3194444444444453E-2</v>
      </c>
      <c r="I101" s="30">
        <v>0.32430555555555557</v>
      </c>
      <c r="J101" s="30">
        <v>0.33750000000000002</v>
      </c>
    </row>
    <row r="102" spans="1:12" ht="63" x14ac:dyDescent="0.2">
      <c r="A102" s="22">
        <v>45792</v>
      </c>
      <c r="B102" s="22" t="s">
        <v>41</v>
      </c>
      <c r="C102" s="27" t="s">
        <v>14</v>
      </c>
      <c r="D102" s="27" t="s">
        <v>15</v>
      </c>
      <c r="E102" s="27" t="s">
        <v>19</v>
      </c>
      <c r="F102" s="27" t="s">
        <v>17</v>
      </c>
      <c r="G102" s="28" t="s">
        <v>177</v>
      </c>
      <c r="H102" s="29">
        <f t="shared" si="0"/>
        <v>7.6388888888888618E-3</v>
      </c>
      <c r="I102" s="30">
        <v>0.33750000000000002</v>
      </c>
      <c r="J102" s="30">
        <v>0.34513888888888888</v>
      </c>
    </row>
    <row r="103" spans="1:12" ht="25.2" x14ac:dyDescent="0.2">
      <c r="A103" s="22">
        <v>45792</v>
      </c>
      <c r="B103" s="22" t="s">
        <v>41</v>
      </c>
      <c r="C103" s="27" t="s">
        <v>14</v>
      </c>
      <c r="D103" s="27" t="s">
        <v>15</v>
      </c>
      <c r="E103" s="27" t="s">
        <v>16</v>
      </c>
      <c r="F103" s="27" t="s">
        <v>17</v>
      </c>
      <c r="G103" s="28" t="s">
        <v>184</v>
      </c>
      <c r="H103" s="29">
        <f t="shared" si="0"/>
        <v>9.7222222222222432E-3</v>
      </c>
      <c r="I103" s="30">
        <v>0.34513888888888888</v>
      </c>
      <c r="J103" s="30">
        <v>0.35486111111111113</v>
      </c>
    </row>
    <row r="104" spans="1:12" ht="63" x14ac:dyDescent="0.2">
      <c r="A104" s="22">
        <v>45792</v>
      </c>
      <c r="B104" s="22" t="s">
        <v>41</v>
      </c>
      <c r="C104" s="27" t="s">
        <v>14</v>
      </c>
      <c r="D104" s="27" t="s">
        <v>15</v>
      </c>
      <c r="E104" s="27" t="s">
        <v>19</v>
      </c>
      <c r="F104" s="27" t="s">
        <v>17</v>
      </c>
      <c r="G104" s="28" t="s">
        <v>177</v>
      </c>
      <c r="H104" s="29">
        <f t="shared" si="0"/>
        <v>0.1472222222222222</v>
      </c>
      <c r="I104" s="30">
        <v>0.35486111111111113</v>
      </c>
      <c r="J104" s="30">
        <v>0.50208333333333333</v>
      </c>
    </row>
    <row r="105" spans="1:12" x14ac:dyDescent="0.2">
      <c r="A105" s="22">
        <v>45792</v>
      </c>
      <c r="B105" s="22" t="s">
        <v>41</v>
      </c>
      <c r="C105" s="27" t="s">
        <v>14</v>
      </c>
      <c r="D105" s="27" t="s">
        <v>15</v>
      </c>
      <c r="E105" s="27" t="s">
        <v>25</v>
      </c>
      <c r="F105" s="27" t="s">
        <v>17</v>
      </c>
      <c r="G105" s="27" t="s">
        <v>38</v>
      </c>
      <c r="H105" s="29">
        <f t="shared" si="0"/>
        <v>3.819444444444442E-2</v>
      </c>
      <c r="I105" s="30">
        <v>0.50208333333333333</v>
      </c>
      <c r="J105" s="30">
        <v>0.54027777777777775</v>
      </c>
    </row>
    <row r="106" spans="1:12" x14ac:dyDescent="0.2">
      <c r="A106" s="22">
        <v>45792</v>
      </c>
      <c r="B106" s="22" t="s">
        <v>41</v>
      </c>
      <c r="C106" s="27" t="s">
        <v>14</v>
      </c>
      <c r="D106" s="27" t="s">
        <v>15</v>
      </c>
      <c r="E106" s="27" t="s">
        <v>16</v>
      </c>
      <c r="F106" s="27" t="s">
        <v>17</v>
      </c>
      <c r="G106" s="27" t="s">
        <v>185</v>
      </c>
      <c r="H106" s="29">
        <f t="shared" si="0"/>
        <v>9.0277777777778567E-3</v>
      </c>
      <c r="I106" s="30">
        <v>0.54027777777777775</v>
      </c>
      <c r="J106" s="30">
        <v>0.5493055555555556</v>
      </c>
    </row>
    <row r="107" spans="1:12" ht="63" x14ac:dyDescent="0.2">
      <c r="A107" s="22">
        <v>45792</v>
      </c>
      <c r="B107" s="22" t="s">
        <v>41</v>
      </c>
      <c r="C107" s="27" t="s">
        <v>14</v>
      </c>
      <c r="D107" s="27" t="s">
        <v>15</v>
      </c>
      <c r="E107" s="27" t="s">
        <v>19</v>
      </c>
      <c r="F107" s="27" t="s">
        <v>17</v>
      </c>
      <c r="G107" s="28" t="s">
        <v>177</v>
      </c>
      <c r="H107" s="29">
        <f t="shared" si="0"/>
        <v>5.5555555555555358E-3</v>
      </c>
      <c r="I107" s="30">
        <v>0.5493055555555556</v>
      </c>
      <c r="J107" s="30">
        <v>0.55486111111111114</v>
      </c>
    </row>
    <row r="108" spans="1:12" x14ac:dyDescent="0.2">
      <c r="A108" s="22">
        <v>45792</v>
      </c>
      <c r="B108" s="22" t="s">
        <v>41</v>
      </c>
      <c r="C108" s="27" t="s">
        <v>14</v>
      </c>
      <c r="D108" s="27" t="s">
        <v>15</v>
      </c>
      <c r="E108" s="27" t="s">
        <v>16</v>
      </c>
      <c r="F108" s="27" t="s">
        <v>17</v>
      </c>
      <c r="G108" s="27" t="s">
        <v>186</v>
      </c>
      <c r="H108" s="29">
        <f t="shared" si="0"/>
        <v>4.2361111111111072E-2</v>
      </c>
      <c r="I108" s="30">
        <v>0.55486111111111114</v>
      </c>
      <c r="J108" s="30">
        <v>0.59722222222222221</v>
      </c>
    </row>
    <row r="109" spans="1:12" ht="75.599999999999994" x14ac:dyDescent="0.2">
      <c r="A109" s="22">
        <v>45792</v>
      </c>
      <c r="B109" s="22" t="s">
        <v>41</v>
      </c>
      <c r="C109" s="27" t="s">
        <v>14</v>
      </c>
      <c r="D109" s="27" t="s">
        <v>15</v>
      </c>
      <c r="E109" s="27" t="s">
        <v>19</v>
      </c>
      <c r="F109" s="27" t="s">
        <v>17</v>
      </c>
      <c r="G109" s="28" t="s">
        <v>179</v>
      </c>
      <c r="H109" s="29">
        <f t="shared" si="0"/>
        <v>6.944444444444442E-2</v>
      </c>
      <c r="I109" s="30">
        <v>0.59722222222222221</v>
      </c>
      <c r="J109" s="30">
        <v>0.66666666666666663</v>
      </c>
    </row>
    <row r="110" spans="1:12" ht="50.4" x14ac:dyDescent="0.2">
      <c r="A110" s="22">
        <v>45792</v>
      </c>
      <c r="B110" s="22" t="s">
        <v>41</v>
      </c>
      <c r="C110" s="27" t="s">
        <v>14</v>
      </c>
      <c r="D110" s="27" t="s">
        <v>15</v>
      </c>
      <c r="E110" s="27" t="s">
        <v>16</v>
      </c>
      <c r="F110" s="27" t="s">
        <v>17</v>
      </c>
      <c r="G110" s="40" t="s">
        <v>183</v>
      </c>
      <c r="H110" s="29">
        <f t="shared" si="0"/>
        <v>8.1944444444444486E-2</v>
      </c>
      <c r="I110" s="30">
        <v>0.66666666666666663</v>
      </c>
      <c r="J110" s="30">
        <v>0.74861111111111112</v>
      </c>
      <c r="K110" s="66"/>
    </row>
    <row r="111" spans="1:12" ht="63" x14ac:dyDescent="0.2">
      <c r="A111" s="22">
        <v>45793</v>
      </c>
      <c r="B111" s="22" t="s">
        <v>50</v>
      </c>
      <c r="C111" s="27" t="s">
        <v>14</v>
      </c>
      <c r="D111" s="27" t="s">
        <v>15</v>
      </c>
      <c r="E111" s="27" t="s">
        <v>16</v>
      </c>
      <c r="F111" s="27" t="s">
        <v>17</v>
      </c>
      <c r="G111" s="28" t="s">
        <v>147</v>
      </c>
      <c r="H111" s="29">
        <f t="shared" si="0"/>
        <v>1.6666666666666663E-2</v>
      </c>
      <c r="I111" s="30">
        <v>0.32569444444444445</v>
      </c>
      <c r="J111" s="30">
        <v>0.34236111111111112</v>
      </c>
    </row>
    <row r="112" spans="1:12" ht="63" x14ac:dyDescent="0.2">
      <c r="A112" s="22">
        <v>45793</v>
      </c>
      <c r="B112" s="22" t="s">
        <v>50</v>
      </c>
      <c r="C112" s="27" t="s">
        <v>14</v>
      </c>
      <c r="D112" s="27" t="s">
        <v>15</v>
      </c>
      <c r="E112" s="27" t="s">
        <v>19</v>
      </c>
      <c r="F112" s="27" t="s">
        <v>17</v>
      </c>
      <c r="G112" s="28" t="s">
        <v>177</v>
      </c>
      <c r="H112" s="29">
        <f t="shared" si="0"/>
        <v>7.4305555555555569E-2</v>
      </c>
      <c r="I112" s="30">
        <v>0.34236111111111112</v>
      </c>
      <c r="J112" s="30">
        <v>0.41666666666666669</v>
      </c>
    </row>
    <row r="113" spans="1:11" ht="25.2" x14ac:dyDescent="0.2">
      <c r="A113" s="22">
        <v>45793</v>
      </c>
      <c r="B113" s="22" t="s">
        <v>50</v>
      </c>
      <c r="C113" s="27" t="s">
        <v>14</v>
      </c>
      <c r="D113" s="27" t="s">
        <v>15</v>
      </c>
      <c r="E113" s="27" t="s">
        <v>16</v>
      </c>
      <c r="F113" s="27" t="s">
        <v>17</v>
      </c>
      <c r="G113" s="28" t="s">
        <v>103</v>
      </c>
      <c r="H113" s="29">
        <f t="shared" si="0"/>
        <v>6.9444444444444198E-3</v>
      </c>
      <c r="I113" s="30">
        <v>0.41666666666666669</v>
      </c>
      <c r="J113" s="30">
        <v>0.4236111111111111</v>
      </c>
    </row>
    <row r="114" spans="1:11" ht="63" x14ac:dyDescent="0.2">
      <c r="A114" s="22">
        <v>45793</v>
      </c>
      <c r="B114" s="22" t="s">
        <v>50</v>
      </c>
      <c r="C114" s="27" t="s">
        <v>14</v>
      </c>
      <c r="D114" s="27" t="s">
        <v>15</v>
      </c>
      <c r="E114" s="27" t="s">
        <v>19</v>
      </c>
      <c r="F114" s="27" t="s">
        <v>17</v>
      </c>
      <c r="G114" s="28" t="s">
        <v>177</v>
      </c>
      <c r="H114" s="29">
        <f t="shared" si="0"/>
        <v>7.8472222222222221E-2</v>
      </c>
      <c r="I114" s="30">
        <v>0.4236111111111111</v>
      </c>
      <c r="J114" s="30">
        <v>0.50208333333333333</v>
      </c>
    </row>
    <row r="115" spans="1:11" x14ac:dyDescent="0.2">
      <c r="A115" s="22">
        <v>45793</v>
      </c>
      <c r="B115" s="22" t="s">
        <v>50</v>
      </c>
      <c r="C115" s="27" t="s">
        <v>14</v>
      </c>
      <c r="D115" s="27" t="s">
        <v>15</v>
      </c>
      <c r="E115" s="27" t="s">
        <v>25</v>
      </c>
      <c r="F115" s="27" t="s">
        <v>17</v>
      </c>
      <c r="G115" s="27" t="s">
        <v>38</v>
      </c>
      <c r="H115" s="29">
        <f t="shared" si="0"/>
        <v>3.8888888888888862E-2</v>
      </c>
      <c r="I115" s="30">
        <v>0.50208333333333333</v>
      </c>
      <c r="J115" s="30">
        <v>0.54097222222222219</v>
      </c>
    </row>
    <row r="116" spans="1:11" ht="25.2" x14ac:dyDescent="0.2">
      <c r="A116" s="22">
        <v>45793</v>
      </c>
      <c r="B116" s="22" t="s">
        <v>50</v>
      </c>
      <c r="C116" s="27" t="s">
        <v>14</v>
      </c>
      <c r="D116" s="27" t="s">
        <v>15</v>
      </c>
      <c r="E116" s="27" t="s">
        <v>16</v>
      </c>
      <c r="F116" s="27" t="s">
        <v>17</v>
      </c>
      <c r="G116" s="28" t="s">
        <v>187</v>
      </c>
      <c r="H116" s="29">
        <f t="shared" si="0"/>
        <v>1.5972222222222276E-2</v>
      </c>
      <c r="I116" s="30">
        <v>0.54097222222222219</v>
      </c>
      <c r="J116" s="30">
        <v>0.55694444444444446</v>
      </c>
    </row>
    <row r="117" spans="1:11" ht="75.599999999999994" x14ac:dyDescent="0.2">
      <c r="A117" s="22">
        <v>45793</v>
      </c>
      <c r="B117" s="22" t="s">
        <v>50</v>
      </c>
      <c r="C117" s="27" t="s">
        <v>14</v>
      </c>
      <c r="D117" s="27" t="s">
        <v>15</v>
      </c>
      <c r="E117" s="27" t="s">
        <v>19</v>
      </c>
      <c r="F117" s="27" t="s">
        <v>17</v>
      </c>
      <c r="G117" s="28" t="s">
        <v>179</v>
      </c>
      <c r="H117" s="29">
        <f t="shared" si="0"/>
        <v>0.10972222222222217</v>
      </c>
      <c r="I117" s="30">
        <v>0.55694444444444446</v>
      </c>
      <c r="J117" s="30">
        <v>0.66666666666666663</v>
      </c>
    </row>
    <row r="118" spans="1:11" ht="50.4" x14ac:dyDescent="0.2">
      <c r="A118" s="22">
        <v>45793</v>
      </c>
      <c r="B118" s="22" t="s">
        <v>50</v>
      </c>
      <c r="C118" s="27" t="s">
        <v>14</v>
      </c>
      <c r="D118" s="27" t="s">
        <v>15</v>
      </c>
      <c r="E118" s="27" t="s">
        <v>16</v>
      </c>
      <c r="F118" s="27" t="s">
        <v>17</v>
      </c>
      <c r="G118" s="40" t="s">
        <v>188</v>
      </c>
      <c r="H118" s="29">
        <f t="shared" si="0"/>
        <v>5.208333333333337E-2</v>
      </c>
      <c r="I118" s="30">
        <v>0.66666666666666663</v>
      </c>
      <c r="J118" s="30">
        <v>0.71875</v>
      </c>
      <c r="K118" s="66"/>
    </row>
    <row r="119" spans="1:11" x14ac:dyDescent="0.2">
      <c r="A119" s="31">
        <v>45794</v>
      </c>
      <c r="B119" s="31" t="s">
        <v>58</v>
      </c>
      <c r="C119" s="32"/>
      <c r="D119" s="32"/>
      <c r="E119" s="32"/>
      <c r="F119" s="32"/>
      <c r="G119" s="33"/>
      <c r="H119" s="34">
        <f t="shared" si="0"/>
        <v>0</v>
      </c>
      <c r="I119" s="35"/>
      <c r="J119" s="35"/>
    </row>
    <row r="120" spans="1:11" x14ac:dyDescent="0.2">
      <c r="A120" s="31">
        <v>45795</v>
      </c>
      <c r="B120" s="31" t="s">
        <v>59</v>
      </c>
      <c r="C120" s="32"/>
      <c r="D120" s="32"/>
      <c r="E120" s="32"/>
      <c r="F120" s="32"/>
      <c r="G120" s="33"/>
      <c r="H120" s="34">
        <f t="shared" si="0"/>
        <v>0</v>
      </c>
      <c r="I120" s="35"/>
      <c r="J120" s="35"/>
    </row>
    <row r="121" spans="1:11" ht="63" x14ac:dyDescent="0.2">
      <c r="A121" s="22">
        <v>45796</v>
      </c>
      <c r="B121" s="22" t="s">
        <v>60</v>
      </c>
      <c r="C121" s="27" t="s">
        <v>14</v>
      </c>
      <c r="D121" s="27" t="s">
        <v>15</v>
      </c>
      <c r="E121" s="27" t="s">
        <v>16</v>
      </c>
      <c r="F121" s="27" t="s">
        <v>17</v>
      </c>
      <c r="G121" s="28" t="s">
        <v>94</v>
      </c>
      <c r="H121" s="29">
        <f t="shared" si="0"/>
        <v>1.4583333333333337E-2</v>
      </c>
      <c r="I121" s="30">
        <v>0.32569444444444445</v>
      </c>
      <c r="J121" s="30">
        <v>0.34027777777777779</v>
      </c>
    </row>
    <row r="122" spans="1:11" ht="50.4" x14ac:dyDescent="0.2">
      <c r="A122" s="22">
        <v>45796</v>
      </c>
      <c r="B122" s="22" t="s">
        <v>60</v>
      </c>
      <c r="C122" s="27" t="s">
        <v>14</v>
      </c>
      <c r="D122" s="27" t="s">
        <v>15</v>
      </c>
      <c r="E122" s="27" t="s">
        <v>19</v>
      </c>
      <c r="F122" s="27" t="s">
        <v>17</v>
      </c>
      <c r="G122" s="28" t="s">
        <v>189</v>
      </c>
      <c r="H122" s="29">
        <f t="shared" si="0"/>
        <v>7.6388888888888895E-2</v>
      </c>
      <c r="I122" s="30">
        <v>0.34027777777777779</v>
      </c>
      <c r="J122" s="30">
        <v>0.41666666666666669</v>
      </c>
    </row>
    <row r="123" spans="1:11" ht="25.2" x14ac:dyDescent="0.2">
      <c r="A123" s="22">
        <v>45796</v>
      </c>
      <c r="B123" s="22" t="s">
        <v>60</v>
      </c>
      <c r="C123" s="27" t="s">
        <v>14</v>
      </c>
      <c r="D123" s="27" t="s">
        <v>15</v>
      </c>
      <c r="E123" s="27" t="s">
        <v>16</v>
      </c>
      <c r="F123" s="27" t="s">
        <v>17</v>
      </c>
      <c r="G123" s="28" t="s">
        <v>103</v>
      </c>
      <c r="H123" s="29">
        <f t="shared" si="0"/>
        <v>3.4722222222222099E-3</v>
      </c>
      <c r="I123" s="30">
        <v>0.41666666666666669</v>
      </c>
      <c r="J123" s="30">
        <v>0.4201388888888889</v>
      </c>
    </row>
    <row r="124" spans="1:11" ht="50.4" x14ac:dyDescent="0.2">
      <c r="A124" s="22">
        <v>45796</v>
      </c>
      <c r="B124" s="22" t="s">
        <v>60</v>
      </c>
      <c r="C124" s="27" t="s">
        <v>14</v>
      </c>
      <c r="D124" s="27" t="s">
        <v>15</v>
      </c>
      <c r="E124" s="27" t="s">
        <v>19</v>
      </c>
      <c r="F124" s="27" t="s">
        <v>17</v>
      </c>
      <c r="G124" s="28" t="s">
        <v>189</v>
      </c>
      <c r="H124" s="29">
        <f t="shared" si="0"/>
        <v>4.0277777777777746E-2</v>
      </c>
      <c r="I124" s="30">
        <v>0.4201388888888889</v>
      </c>
      <c r="J124" s="30">
        <v>0.46041666666666664</v>
      </c>
    </row>
    <row r="125" spans="1:11" x14ac:dyDescent="0.2">
      <c r="A125" s="22">
        <v>45796</v>
      </c>
      <c r="B125" s="22" t="s">
        <v>60</v>
      </c>
      <c r="C125" s="27" t="s">
        <v>14</v>
      </c>
      <c r="D125" s="27" t="s">
        <v>15</v>
      </c>
      <c r="E125" s="27" t="s">
        <v>16</v>
      </c>
      <c r="F125" s="27" t="s">
        <v>17</v>
      </c>
      <c r="G125" s="28" t="s">
        <v>190</v>
      </c>
      <c r="H125" s="29">
        <f t="shared" si="0"/>
        <v>4.5138888888888895E-2</v>
      </c>
      <c r="I125" s="30">
        <v>0.45833333333333331</v>
      </c>
      <c r="J125" s="30">
        <v>0.50347222222222221</v>
      </c>
    </row>
    <row r="126" spans="1:11" x14ac:dyDescent="0.2">
      <c r="A126" s="22">
        <v>45796</v>
      </c>
      <c r="B126" s="22" t="s">
        <v>60</v>
      </c>
      <c r="C126" s="27" t="s">
        <v>14</v>
      </c>
      <c r="D126" s="27" t="s">
        <v>15</v>
      </c>
      <c r="E126" s="27" t="s">
        <v>25</v>
      </c>
      <c r="F126" s="27" t="s">
        <v>17</v>
      </c>
      <c r="G126" s="27" t="s">
        <v>26</v>
      </c>
      <c r="H126" s="29">
        <f t="shared" si="0"/>
        <v>3.9583333333333304E-2</v>
      </c>
      <c r="I126" s="30">
        <v>0.50347222222222221</v>
      </c>
      <c r="J126" s="30">
        <v>0.54305555555555551</v>
      </c>
    </row>
    <row r="127" spans="1:11" ht="50.4" x14ac:dyDescent="0.2">
      <c r="A127" s="22">
        <v>45796</v>
      </c>
      <c r="B127" s="22" t="s">
        <v>60</v>
      </c>
      <c r="C127" s="27" t="s">
        <v>14</v>
      </c>
      <c r="D127" s="27" t="s">
        <v>15</v>
      </c>
      <c r="E127" s="27" t="s">
        <v>19</v>
      </c>
      <c r="F127" s="27" t="s">
        <v>17</v>
      </c>
      <c r="G127" s="28" t="s">
        <v>189</v>
      </c>
      <c r="H127" s="29">
        <f t="shared" si="0"/>
        <v>0.12361111111111112</v>
      </c>
      <c r="I127" s="30">
        <v>0.54305555555555551</v>
      </c>
      <c r="J127" s="30">
        <v>0.66666666666666663</v>
      </c>
    </row>
    <row r="128" spans="1:11" ht="37.799999999999997" x14ac:dyDescent="0.2">
      <c r="A128" s="22">
        <v>45796</v>
      </c>
      <c r="B128" s="22" t="s">
        <v>60</v>
      </c>
      <c r="C128" s="27" t="s">
        <v>14</v>
      </c>
      <c r="D128" s="27" t="s">
        <v>15</v>
      </c>
      <c r="E128" s="27" t="s">
        <v>16</v>
      </c>
      <c r="F128" s="27" t="s">
        <v>17</v>
      </c>
      <c r="G128" s="40" t="s">
        <v>191</v>
      </c>
      <c r="H128" s="29">
        <f t="shared" si="0"/>
        <v>5.7638888888888906E-2</v>
      </c>
      <c r="I128" s="30">
        <v>0.66666666666666663</v>
      </c>
      <c r="J128" s="30">
        <v>0.72430555555555554</v>
      </c>
      <c r="K128" s="66"/>
    </row>
    <row r="129" spans="1:11" ht="63" x14ac:dyDescent="0.2">
      <c r="A129" s="22">
        <v>45797</v>
      </c>
      <c r="B129" s="22" t="s">
        <v>13</v>
      </c>
      <c r="C129" s="27" t="s">
        <v>14</v>
      </c>
      <c r="D129" s="27" t="s">
        <v>15</v>
      </c>
      <c r="E129" s="27" t="s">
        <v>16</v>
      </c>
      <c r="F129" s="27" t="s">
        <v>17</v>
      </c>
      <c r="G129" s="28" t="s">
        <v>182</v>
      </c>
      <c r="H129" s="29">
        <f t="shared" si="0"/>
        <v>1.1111111111111072E-2</v>
      </c>
      <c r="I129" s="30">
        <v>0.32430555555555557</v>
      </c>
      <c r="J129" s="30">
        <v>0.33541666666666664</v>
      </c>
    </row>
    <row r="130" spans="1:11" ht="50.4" x14ac:dyDescent="0.2">
      <c r="A130" s="22">
        <v>45797</v>
      </c>
      <c r="B130" s="22" t="s">
        <v>13</v>
      </c>
      <c r="C130" s="27" t="s">
        <v>14</v>
      </c>
      <c r="D130" s="27" t="s">
        <v>15</v>
      </c>
      <c r="E130" s="27" t="s">
        <v>19</v>
      </c>
      <c r="F130" s="27" t="s">
        <v>17</v>
      </c>
      <c r="G130" s="28" t="s">
        <v>189</v>
      </c>
      <c r="H130" s="29">
        <f t="shared" si="0"/>
        <v>8.1250000000000044E-2</v>
      </c>
      <c r="I130" s="30">
        <v>0.33541666666666664</v>
      </c>
      <c r="J130" s="30">
        <v>0.41666666666666669</v>
      </c>
    </row>
    <row r="131" spans="1:11" ht="25.2" x14ac:dyDescent="0.2">
      <c r="A131" s="22">
        <v>45797</v>
      </c>
      <c r="B131" s="22" t="s">
        <v>13</v>
      </c>
      <c r="C131" s="27" t="s">
        <v>14</v>
      </c>
      <c r="D131" s="27" t="s">
        <v>15</v>
      </c>
      <c r="E131" s="27" t="s">
        <v>16</v>
      </c>
      <c r="F131" s="27" t="s">
        <v>17</v>
      </c>
      <c r="G131" s="28" t="s">
        <v>103</v>
      </c>
      <c r="H131" s="29">
        <f t="shared" si="0"/>
        <v>8.3333333333333037E-3</v>
      </c>
      <c r="I131" s="30">
        <v>0.41666666666666669</v>
      </c>
      <c r="J131" s="30">
        <v>0.42499999999999999</v>
      </c>
    </row>
    <row r="132" spans="1:11" ht="50.4" x14ac:dyDescent="0.2">
      <c r="A132" s="22">
        <v>45797</v>
      </c>
      <c r="B132" s="22" t="s">
        <v>13</v>
      </c>
      <c r="C132" s="27" t="s">
        <v>14</v>
      </c>
      <c r="D132" s="27" t="s">
        <v>15</v>
      </c>
      <c r="E132" s="27" t="s">
        <v>19</v>
      </c>
      <c r="F132" s="27" t="s">
        <v>17</v>
      </c>
      <c r="G132" s="28" t="s">
        <v>189</v>
      </c>
      <c r="H132" s="29">
        <f t="shared" si="0"/>
        <v>3.5416666666666652E-2</v>
      </c>
      <c r="I132" s="30">
        <v>0.42499999999999999</v>
      </c>
      <c r="J132" s="30">
        <v>0.46041666666666664</v>
      </c>
    </row>
    <row r="133" spans="1:11" ht="25.2" x14ac:dyDescent="0.2">
      <c r="A133" s="22">
        <v>45797</v>
      </c>
      <c r="B133" s="22" t="s">
        <v>13</v>
      </c>
      <c r="C133" s="27" t="s">
        <v>14</v>
      </c>
      <c r="D133" s="27" t="s">
        <v>15</v>
      </c>
      <c r="E133" s="27" t="s">
        <v>16</v>
      </c>
      <c r="F133" s="27" t="s">
        <v>17</v>
      </c>
      <c r="G133" s="28" t="s">
        <v>187</v>
      </c>
      <c r="H133" s="29">
        <f t="shared" si="0"/>
        <v>2.9166666666666674E-2</v>
      </c>
      <c r="I133" s="30">
        <v>0.45833333333333331</v>
      </c>
      <c r="J133" s="30">
        <v>0.48749999999999999</v>
      </c>
    </row>
    <row r="134" spans="1:11" ht="50.4" x14ac:dyDescent="0.2">
      <c r="A134" s="22">
        <v>45797</v>
      </c>
      <c r="B134" s="22" t="s">
        <v>13</v>
      </c>
      <c r="C134" s="27" t="s">
        <v>14</v>
      </c>
      <c r="D134" s="27" t="s">
        <v>15</v>
      </c>
      <c r="E134" s="27" t="s">
        <v>19</v>
      </c>
      <c r="F134" s="27" t="s">
        <v>17</v>
      </c>
      <c r="G134" s="28" t="s">
        <v>189</v>
      </c>
      <c r="H134" s="29">
        <f t="shared" si="0"/>
        <v>1.5972222222222221E-2</v>
      </c>
      <c r="I134" s="30">
        <v>0.48749999999999999</v>
      </c>
      <c r="J134" s="30">
        <v>0.50347222222222221</v>
      </c>
    </row>
    <row r="135" spans="1:11" x14ac:dyDescent="0.2">
      <c r="A135" s="22">
        <v>45797</v>
      </c>
      <c r="B135" s="22" t="s">
        <v>13</v>
      </c>
      <c r="C135" s="27" t="s">
        <v>14</v>
      </c>
      <c r="D135" s="27" t="s">
        <v>15</v>
      </c>
      <c r="E135" s="27" t="s">
        <v>25</v>
      </c>
      <c r="F135" s="27" t="s">
        <v>17</v>
      </c>
      <c r="G135" s="27" t="s">
        <v>26</v>
      </c>
      <c r="H135" s="29">
        <f t="shared" si="0"/>
        <v>4.0277777777777746E-2</v>
      </c>
      <c r="I135" s="30">
        <v>0.50347222222222221</v>
      </c>
      <c r="J135" s="30">
        <v>0.54374999999999996</v>
      </c>
    </row>
    <row r="136" spans="1:11" ht="50.4" x14ac:dyDescent="0.2">
      <c r="A136" s="22">
        <v>45797</v>
      </c>
      <c r="B136" s="22" t="s">
        <v>13</v>
      </c>
      <c r="C136" s="27" t="s">
        <v>14</v>
      </c>
      <c r="D136" s="27" t="s">
        <v>15</v>
      </c>
      <c r="E136" s="27" t="s">
        <v>19</v>
      </c>
      <c r="F136" s="27" t="s">
        <v>17</v>
      </c>
      <c r="G136" s="28" t="s">
        <v>189</v>
      </c>
      <c r="H136" s="29">
        <f t="shared" si="0"/>
        <v>0.12291666666666667</v>
      </c>
      <c r="I136" s="30">
        <v>0.54374999999999996</v>
      </c>
      <c r="J136" s="30">
        <v>0.66666666666666663</v>
      </c>
    </row>
    <row r="137" spans="1:11" ht="37.799999999999997" x14ac:dyDescent="0.2">
      <c r="A137" s="22">
        <v>45797</v>
      </c>
      <c r="B137" s="22" t="s">
        <v>13</v>
      </c>
      <c r="C137" s="27" t="s">
        <v>14</v>
      </c>
      <c r="D137" s="27" t="s">
        <v>15</v>
      </c>
      <c r="E137" s="27" t="s">
        <v>16</v>
      </c>
      <c r="F137" s="27" t="s">
        <v>17</v>
      </c>
      <c r="G137" s="40" t="s">
        <v>191</v>
      </c>
      <c r="H137" s="29">
        <f t="shared" si="0"/>
        <v>7.1527777777777857E-2</v>
      </c>
      <c r="I137" s="30">
        <v>0.66666666666666663</v>
      </c>
      <c r="J137" s="30">
        <v>0.73819444444444449</v>
      </c>
      <c r="K137" s="66"/>
    </row>
    <row r="138" spans="1:11" ht="63" x14ac:dyDescent="0.2">
      <c r="A138" s="22">
        <v>45798</v>
      </c>
      <c r="B138" s="22" t="s">
        <v>30</v>
      </c>
      <c r="C138" s="27" t="s">
        <v>14</v>
      </c>
      <c r="D138" s="27" t="s">
        <v>15</v>
      </c>
      <c r="E138" s="27" t="s">
        <v>16</v>
      </c>
      <c r="F138" s="27" t="s">
        <v>17</v>
      </c>
      <c r="G138" s="28" t="s">
        <v>182</v>
      </c>
      <c r="H138" s="29">
        <f t="shared" si="0"/>
        <v>1.3194444444444453E-2</v>
      </c>
      <c r="I138" s="30">
        <v>0.32430555555555557</v>
      </c>
      <c r="J138" s="30">
        <v>0.33750000000000002</v>
      </c>
    </row>
    <row r="139" spans="1:11" ht="50.4" x14ac:dyDescent="0.2">
      <c r="A139" s="22">
        <v>45798</v>
      </c>
      <c r="B139" s="22" t="s">
        <v>30</v>
      </c>
      <c r="C139" s="27" t="s">
        <v>14</v>
      </c>
      <c r="D139" s="27" t="s">
        <v>15</v>
      </c>
      <c r="E139" s="27" t="s">
        <v>19</v>
      </c>
      <c r="F139" s="27" t="s">
        <v>17</v>
      </c>
      <c r="G139" s="28" t="s">
        <v>189</v>
      </c>
      <c r="H139" s="29">
        <f t="shared" si="0"/>
        <v>0.12291666666666667</v>
      </c>
      <c r="I139" s="30">
        <v>0.33541666666666664</v>
      </c>
      <c r="J139" s="30">
        <v>0.45833333333333331</v>
      </c>
    </row>
    <row r="140" spans="1:11" ht="25.2" x14ac:dyDescent="0.2">
      <c r="A140" s="22">
        <v>45798</v>
      </c>
      <c r="B140" s="22" t="s">
        <v>30</v>
      </c>
      <c r="C140" s="27" t="s">
        <v>14</v>
      </c>
      <c r="D140" s="27" t="s">
        <v>15</v>
      </c>
      <c r="E140" s="27" t="s">
        <v>16</v>
      </c>
      <c r="F140" s="27" t="s">
        <v>17</v>
      </c>
      <c r="G140" s="28" t="s">
        <v>187</v>
      </c>
      <c r="H140" s="29">
        <f t="shared" si="0"/>
        <v>6.9444444444444753E-3</v>
      </c>
      <c r="I140" s="30">
        <v>0.45833333333333331</v>
      </c>
      <c r="J140" s="30">
        <v>0.46527777777777779</v>
      </c>
    </row>
    <row r="141" spans="1:11" ht="50.4" x14ac:dyDescent="0.2">
      <c r="A141" s="22">
        <v>45798</v>
      </c>
      <c r="B141" s="22" t="s">
        <v>30</v>
      </c>
      <c r="C141" s="27" t="s">
        <v>14</v>
      </c>
      <c r="D141" s="27" t="s">
        <v>15</v>
      </c>
      <c r="E141" s="27" t="s">
        <v>19</v>
      </c>
      <c r="F141" s="27" t="s">
        <v>17</v>
      </c>
      <c r="G141" s="28" t="s">
        <v>189</v>
      </c>
      <c r="H141" s="29">
        <f t="shared" si="0"/>
        <v>3.6111111111111094E-2</v>
      </c>
      <c r="I141" s="30">
        <v>0.46527777777777779</v>
      </c>
      <c r="J141" s="30">
        <v>0.50138888888888888</v>
      </c>
    </row>
    <row r="142" spans="1:11" x14ac:dyDescent="0.2">
      <c r="A142" s="22">
        <v>45798</v>
      </c>
      <c r="B142" s="22" t="s">
        <v>30</v>
      </c>
      <c r="C142" s="27" t="s">
        <v>14</v>
      </c>
      <c r="D142" s="27" t="s">
        <v>15</v>
      </c>
      <c r="E142" s="27" t="s">
        <v>25</v>
      </c>
      <c r="F142" s="27" t="s">
        <v>17</v>
      </c>
      <c r="G142" s="27" t="s">
        <v>84</v>
      </c>
      <c r="H142" s="29">
        <f t="shared" si="0"/>
        <v>4.0277777777777746E-2</v>
      </c>
      <c r="I142" s="30">
        <v>0.50138888888888888</v>
      </c>
      <c r="J142" s="30">
        <v>0.54166666666666663</v>
      </c>
    </row>
    <row r="143" spans="1:11" ht="50.4" x14ac:dyDescent="0.2">
      <c r="A143" s="22">
        <v>45798</v>
      </c>
      <c r="B143" s="22" t="s">
        <v>30</v>
      </c>
      <c r="C143" s="27" t="s">
        <v>14</v>
      </c>
      <c r="D143" s="27" t="s">
        <v>15</v>
      </c>
      <c r="E143" s="27" t="s">
        <v>19</v>
      </c>
      <c r="F143" s="27" t="s">
        <v>17</v>
      </c>
      <c r="G143" s="28" t="s">
        <v>189</v>
      </c>
      <c r="H143" s="29">
        <f t="shared" si="0"/>
        <v>0.125</v>
      </c>
      <c r="I143" s="30">
        <v>0.54166666666666663</v>
      </c>
      <c r="J143" s="30">
        <v>0.66666666666666663</v>
      </c>
    </row>
    <row r="144" spans="1:11" ht="37.799999999999997" x14ac:dyDescent="0.2">
      <c r="A144" s="22">
        <v>45798</v>
      </c>
      <c r="B144" s="22" t="s">
        <v>30</v>
      </c>
      <c r="C144" s="27" t="s">
        <v>14</v>
      </c>
      <c r="D144" s="27" t="s">
        <v>15</v>
      </c>
      <c r="E144" s="27" t="s">
        <v>16</v>
      </c>
      <c r="F144" s="27" t="s">
        <v>17</v>
      </c>
      <c r="G144" s="40" t="s">
        <v>192</v>
      </c>
      <c r="H144" s="29">
        <f t="shared" si="0"/>
        <v>9.0972222222222232E-2</v>
      </c>
      <c r="I144" s="30">
        <v>0.66666666666666663</v>
      </c>
      <c r="J144" s="30">
        <v>0.75763888888888886</v>
      </c>
      <c r="K144" s="66"/>
    </row>
    <row r="145" spans="1:11" ht="63" x14ac:dyDescent="0.2">
      <c r="A145" s="22">
        <v>45799</v>
      </c>
      <c r="B145" s="22" t="s">
        <v>41</v>
      </c>
      <c r="C145" s="27" t="s">
        <v>14</v>
      </c>
      <c r="D145" s="27" t="s">
        <v>15</v>
      </c>
      <c r="E145" s="27" t="s">
        <v>16</v>
      </c>
      <c r="F145" s="27" t="s">
        <v>17</v>
      </c>
      <c r="G145" s="28" t="s">
        <v>147</v>
      </c>
      <c r="H145" s="29">
        <f t="shared" si="0"/>
        <v>1.5277777777777779E-2</v>
      </c>
      <c r="I145" s="30">
        <v>0.32500000000000001</v>
      </c>
      <c r="J145" s="30">
        <v>0.34027777777777779</v>
      </c>
      <c r="K145" s="66"/>
    </row>
    <row r="146" spans="1:11" ht="25.2" x14ac:dyDescent="0.2">
      <c r="A146" s="22">
        <v>45799</v>
      </c>
      <c r="B146" s="22" t="s">
        <v>41</v>
      </c>
      <c r="C146" s="27" t="s">
        <v>14</v>
      </c>
      <c r="D146" s="27" t="s">
        <v>15</v>
      </c>
      <c r="E146" s="27" t="s">
        <v>16</v>
      </c>
      <c r="F146" s="27" t="s">
        <v>17</v>
      </c>
      <c r="G146" s="28" t="s">
        <v>103</v>
      </c>
      <c r="H146" s="29">
        <f t="shared" si="0"/>
        <v>6.9444444444444198E-3</v>
      </c>
      <c r="I146" s="30">
        <v>0.34027777777777779</v>
      </c>
      <c r="J146" s="30">
        <v>0.34722222222222221</v>
      </c>
    </row>
    <row r="147" spans="1:11" ht="50.4" x14ac:dyDescent="0.2">
      <c r="A147" s="22">
        <v>45799</v>
      </c>
      <c r="B147" s="22" t="s">
        <v>41</v>
      </c>
      <c r="C147" s="27" t="s">
        <v>14</v>
      </c>
      <c r="D147" s="27" t="s">
        <v>15</v>
      </c>
      <c r="E147" s="27" t="s">
        <v>19</v>
      </c>
      <c r="F147" s="27" t="s">
        <v>17</v>
      </c>
      <c r="G147" s="28" t="s">
        <v>189</v>
      </c>
      <c r="H147" s="29">
        <f t="shared" si="0"/>
        <v>0.1111111111111111</v>
      </c>
      <c r="I147" s="30">
        <v>0.34722222222222221</v>
      </c>
      <c r="J147" s="30">
        <v>0.45833333333333331</v>
      </c>
    </row>
    <row r="148" spans="1:11" ht="25.2" x14ac:dyDescent="0.2">
      <c r="A148" s="22">
        <v>45799</v>
      </c>
      <c r="B148" s="22" t="s">
        <v>41</v>
      </c>
      <c r="C148" s="27" t="s">
        <v>14</v>
      </c>
      <c r="D148" s="27" t="s">
        <v>15</v>
      </c>
      <c r="E148" s="27" t="s">
        <v>16</v>
      </c>
      <c r="F148" s="27" t="s">
        <v>17</v>
      </c>
      <c r="G148" s="28" t="s">
        <v>187</v>
      </c>
      <c r="H148" s="29">
        <f t="shared" si="0"/>
        <v>6.9444444444444753E-3</v>
      </c>
      <c r="I148" s="30">
        <v>0.45833333333333331</v>
      </c>
      <c r="J148" s="30">
        <v>0.46527777777777779</v>
      </c>
    </row>
    <row r="149" spans="1:11" ht="50.4" x14ac:dyDescent="0.2">
      <c r="A149" s="22">
        <v>45799</v>
      </c>
      <c r="B149" s="22" t="s">
        <v>41</v>
      </c>
      <c r="C149" s="27" t="s">
        <v>14</v>
      </c>
      <c r="D149" s="27" t="s">
        <v>15</v>
      </c>
      <c r="E149" s="27" t="s">
        <v>19</v>
      </c>
      <c r="F149" s="27" t="s">
        <v>17</v>
      </c>
      <c r="G149" s="28" t="s">
        <v>189</v>
      </c>
      <c r="H149" s="29">
        <f t="shared" si="0"/>
        <v>3.6805555555555536E-2</v>
      </c>
      <c r="I149" s="30">
        <v>0.46527777777777779</v>
      </c>
      <c r="J149" s="30">
        <v>0.50208333333333333</v>
      </c>
    </row>
    <row r="150" spans="1:11" x14ac:dyDescent="0.2">
      <c r="A150" s="22">
        <v>45799</v>
      </c>
      <c r="B150" s="22" t="s">
        <v>41</v>
      </c>
      <c r="C150" s="27" t="s">
        <v>14</v>
      </c>
      <c r="D150" s="27" t="s">
        <v>15</v>
      </c>
      <c r="E150" s="27" t="s">
        <v>25</v>
      </c>
      <c r="F150" s="27" t="s">
        <v>17</v>
      </c>
      <c r="G150" s="27" t="s">
        <v>38</v>
      </c>
      <c r="H150" s="29">
        <f t="shared" si="0"/>
        <v>4.0277777777777746E-2</v>
      </c>
      <c r="I150" s="30">
        <v>0.50208333333333333</v>
      </c>
      <c r="J150" s="30">
        <v>0.54236111111111107</v>
      </c>
    </row>
    <row r="151" spans="1:11" ht="50.4" x14ac:dyDescent="0.2">
      <c r="A151" s="22">
        <v>45799</v>
      </c>
      <c r="B151" s="22" t="s">
        <v>41</v>
      </c>
      <c r="C151" s="27" t="s">
        <v>14</v>
      </c>
      <c r="D151" s="27" t="s">
        <v>15</v>
      </c>
      <c r="E151" s="27" t="s">
        <v>19</v>
      </c>
      <c r="F151" s="27" t="s">
        <v>17</v>
      </c>
      <c r="G151" s="28" t="s">
        <v>189</v>
      </c>
      <c r="H151" s="29">
        <f t="shared" si="0"/>
        <v>0.12430555555555556</v>
      </c>
      <c r="I151" s="30">
        <v>0.54236111111111107</v>
      </c>
      <c r="J151" s="30">
        <v>0.66666666666666663</v>
      </c>
    </row>
    <row r="152" spans="1:11" ht="37.799999999999997" x14ac:dyDescent="0.2">
      <c r="A152" s="22">
        <v>45799</v>
      </c>
      <c r="B152" s="22" t="s">
        <v>41</v>
      </c>
      <c r="C152" s="27" t="s">
        <v>14</v>
      </c>
      <c r="D152" s="27" t="s">
        <v>15</v>
      </c>
      <c r="E152" s="27" t="s">
        <v>16</v>
      </c>
      <c r="F152" s="27" t="s">
        <v>17</v>
      </c>
      <c r="G152" s="40" t="s">
        <v>191</v>
      </c>
      <c r="H152" s="29">
        <f t="shared" si="0"/>
        <v>7.2222222222222299E-2</v>
      </c>
      <c r="I152" s="30">
        <v>0.66666666666666663</v>
      </c>
      <c r="J152" s="30">
        <v>0.73888888888888893</v>
      </c>
      <c r="K152" s="66"/>
    </row>
    <row r="153" spans="1:11" ht="63" x14ac:dyDescent="0.2">
      <c r="A153" s="22">
        <v>45800</v>
      </c>
      <c r="B153" s="22" t="s">
        <v>50</v>
      </c>
      <c r="C153" s="27" t="s">
        <v>14</v>
      </c>
      <c r="D153" s="27" t="s">
        <v>15</v>
      </c>
      <c r="E153" s="27" t="s">
        <v>16</v>
      </c>
      <c r="F153" s="27" t="s">
        <v>17</v>
      </c>
      <c r="G153" s="28" t="s">
        <v>182</v>
      </c>
      <c r="H153" s="29">
        <f t="shared" si="0"/>
        <v>1.3194444444444453E-2</v>
      </c>
      <c r="I153" s="30">
        <v>0.32430555555555557</v>
      </c>
      <c r="J153" s="30">
        <v>0.33750000000000002</v>
      </c>
    </row>
    <row r="154" spans="1:11" ht="50.4" x14ac:dyDescent="0.2">
      <c r="A154" s="22">
        <v>45800</v>
      </c>
      <c r="B154" s="22" t="s">
        <v>50</v>
      </c>
      <c r="C154" s="27" t="s">
        <v>14</v>
      </c>
      <c r="D154" s="27" t="s">
        <v>15</v>
      </c>
      <c r="E154" s="27" t="s">
        <v>19</v>
      </c>
      <c r="F154" s="27" t="s">
        <v>17</v>
      </c>
      <c r="G154" s="28" t="s">
        <v>189</v>
      </c>
      <c r="H154" s="29">
        <f t="shared" si="0"/>
        <v>7.9166666666666663E-2</v>
      </c>
      <c r="I154" s="30">
        <v>0.33750000000000002</v>
      </c>
      <c r="J154" s="30">
        <v>0.41666666666666669</v>
      </c>
    </row>
    <row r="155" spans="1:11" ht="25.2" x14ac:dyDescent="0.2">
      <c r="A155" s="22">
        <v>45800</v>
      </c>
      <c r="B155" s="22" t="s">
        <v>50</v>
      </c>
      <c r="C155" s="27" t="s">
        <v>14</v>
      </c>
      <c r="D155" s="27" t="s">
        <v>15</v>
      </c>
      <c r="E155" s="27" t="s">
        <v>16</v>
      </c>
      <c r="F155" s="27" t="s">
        <v>17</v>
      </c>
      <c r="G155" s="28" t="s">
        <v>103</v>
      </c>
      <c r="H155" s="29">
        <f t="shared" si="0"/>
        <v>4.1666666666666519E-3</v>
      </c>
      <c r="I155" s="30">
        <v>0.41666666666666669</v>
      </c>
      <c r="J155" s="30">
        <v>0.42083333333333334</v>
      </c>
    </row>
    <row r="156" spans="1:11" ht="50.4" x14ac:dyDescent="0.2">
      <c r="A156" s="22">
        <v>45800</v>
      </c>
      <c r="B156" s="22" t="s">
        <v>50</v>
      </c>
      <c r="C156" s="27" t="s">
        <v>14</v>
      </c>
      <c r="D156" s="27" t="s">
        <v>15</v>
      </c>
      <c r="E156" s="27" t="s">
        <v>19</v>
      </c>
      <c r="F156" s="27" t="s">
        <v>17</v>
      </c>
      <c r="G156" s="28" t="s">
        <v>189</v>
      </c>
      <c r="H156" s="29">
        <f t="shared" si="0"/>
        <v>3.9583333333333304E-2</v>
      </c>
      <c r="I156" s="30">
        <v>0.42083333333333334</v>
      </c>
      <c r="J156" s="30">
        <v>0.46041666666666664</v>
      </c>
    </row>
    <row r="157" spans="1:11" ht="25.2" x14ac:dyDescent="0.2">
      <c r="A157" s="22">
        <v>45800</v>
      </c>
      <c r="B157" s="22" t="s">
        <v>50</v>
      </c>
      <c r="C157" s="27" t="s">
        <v>14</v>
      </c>
      <c r="D157" s="27" t="s">
        <v>15</v>
      </c>
      <c r="E157" s="27" t="s">
        <v>16</v>
      </c>
      <c r="F157" s="27" t="s">
        <v>17</v>
      </c>
      <c r="G157" s="28" t="s">
        <v>187</v>
      </c>
      <c r="H157" s="29">
        <f t="shared" si="0"/>
        <v>5.5555555555555913E-3</v>
      </c>
      <c r="I157" s="30">
        <v>0.45833333333333331</v>
      </c>
      <c r="J157" s="30">
        <v>0.46388888888888891</v>
      </c>
    </row>
    <row r="158" spans="1:11" ht="50.4" x14ac:dyDescent="0.2">
      <c r="A158" s="22">
        <v>45800</v>
      </c>
      <c r="B158" s="22" t="s">
        <v>50</v>
      </c>
      <c r="C158" s="27" t="s">
        <v>14</v>
      </c>
      <c r="D158" s="27" t="s">
        <v>15</v>
      </c>
      <c r="E158" s="27" t="s">
        <v>19</v>
      </c>
      <c r="F158" s="27" t="s">
        <v>17</v>
      </c>
      <c r="G158" s="28" t="s">
        <v>189</v>
      </c>
      <c r="H158" s="29">
        <f t="shared" si="0"/>
        <v>3.7499999999999978E-2</v>
      </c>
      <c r="I158" s="30">
        <v>0.46388888888888891</v>
      </c>
      <c r="J158" s="30">
        <v>0.50138888888888888</v>
      </c>
    </row>
    <row r="159" spans="1:11" x14ac:dyDescent="0.2">
      <c r="A159" s="22">
        <v>45800</v>
      </c>
      <c r="B159" s="22" t="s">
        <v>50</v>
      </c>
      <c r="C159" s="27" t="s">
        <v>14</v>
      </c>
      <c r="D159" s="27" t="s">
        <v>15</v>
      </c>
      <c r="E159" s="27" t="s">
        <v>25</v>
      </c>
      <c r="F159" s="27" t="s">
        <v>17</v>
      </c>
      <c r="G159" s="27" t="s">
        <v>84</v>
      </c>
      <c r="H159" s="29">
        <f t="shared" si="0"/>
        <v>4.0972222222222188E-2</v>
      </c>
      <c r="I159" s="30">
        <v>0.50138888888888888</v>
      </c>
      <c r="J159" s="30">
        <v>0.54236111111111107</v>
      </c>
    </row>
    <row r="160" spans="1:11" ht="50.4" x14ac:dyDescent="0.2">
      <c r="A160" s="22">
        <v>45800</v>
      </c>
      <c r="B160" s="22" t="s">
        <v>50</v>
      </c>
      <c r="C160" s="27" t="s">
        <v>14</v>
      </c>
      <c r="D160" s="27" t="s">
        <v>15</v>
      </c>
      <c r="E160" s="27" t="s">
        <v>19</v>
      </c>
      <c r="F160" s="27" t="s">
        <v>17</v>
      </c>
      <c r="G160" s="28" t="s">
        <v>189</v>
      </c>
      <c r="H160" s="29">
        <f t="shared" si="0"/>
        <v>0.12430555555555556</v>
      </c>
      <c r="I160" s="30">
        <v>0.54236111111111107</v>
      </c>
      <c r="J160" s="30">
        <v>0.66666666666666663</v>
      </c>
    </row>
    <row r="161" spans="1:12" ht="50.4" x14ac:dyDescent="0.2">
      <c r="A161" s="22">
        <v>45800</v>
      </c>
      <c r="B161" s="22" t="s">
        <v>50</v>
      </c>
      <c r="C161" s="27" t="s">
        <v>14</v>
      </c>
      <c r="D161" s="27" t="s">
        <v>15</v>
      </c>
      <c r="E161" s="27" t="s">
        <v>16</v>
      </c>
      <c r="F161" s="27" t="s">
        <v>17</v>
      </c>
      <c r="G161" s="40" t="s">
        <v>188</v>
      </c>
      <c r="H161" s="29">
        <f t="shared" si="0"/>
        <v>6.9444444444444531E-2</v>
      </c>
      <c r="I161" s="30">
        <v>0.66666666666666663</v>
      </c>
      <c r="J161" s="30">
        <v>0.73611111111111116</v>
      </c>
      <c r="K161" s="66"/>
    </row>
    <row r="162" spans="1:12" x14ac:dyDescent="0.2">
      <c r="A162" s="31">
        <v>45801</v>
      </c>
      <c r="B162" s="31" t="s">
        <v>58</v>
      </c>
      <c r="C162" s="32"/>
      <c r="D162" s="32"/>
      <c r="E162" s="32"/>
      <c r="F162" s="32"/>
      <c r="G162" s="33"/>
      <c r="H162" s="34">
        <f t="shared" si="0"/>
        <v>0</v>
      </c>
      <c r="I162" s="35"/>
      <c r="J162" s="35"/>
    </row>
    <row r="163" spans="1:12" x14ac:dyDescent="0.2">
      <c r="A163" s="31">
        <v>45802</v>
      </c>
      <c r="B163" s="31" t="s">
        <v>59</v>
      </c>
      <c r="C163" s="32"/>
      <c r="D163" s="32"/>
      <c r="E163" s="32"/>
      <c r="F163" s="32"/>
      <c r="G163" s="33"/>
      <c r="H163" s="34">
        <f t="shared" si="0"/>
        <v>0</v>
      </c>
      <c r="I163" s="35"/>
      <c r="J163" s="35"/>
    </row>
    <row r="164" spans="1:12" ht="63" x14ac:dyDescent="0.2">
      <c r="A164" s="22">
        <v>45803</v>
      </c>
      <c r="B164" s="22" t="s">
        <v>60</v>
      </c>
      <c r="C164" s="27" t="s">
        <v>14</v>
      </c>
      <c r="D164" s="27" t="s">
        <v>15</v>
      </c>
      <c r="E164" s="27" t="s">
        <v>16</v>
      </c>
      <c r="F164" s="27" t="s">
        <v>17</v>
      </c>
      <c r="G164" s="28" t="s">
        <v>94</v>
      </c>
      <c r="H164" s="29">
        <f t="shared" si="0"/>
        <v>1.5972222222222221E-2</v>
      </c>
      <c r="I164" s="30">
        <v>0.32569444444444445</v>
      </c>
      <c r="J164" s="30">
        <v>0.34166666666666667</v>
      </c>
    </row>
    <row r="165" spans="1:12" ht="50.4" x14ac:dyDescent="0.2">
      <c r="A165" s="22">
        <v>45803</v>
      </c>
      <c r="B165" s="22" t="s">
        <v>60</v>
      </c>
      <c r="C165" s="27" t="s">
        <v>14</v>
      </c>
      <c r="D165" s="27" t="s">
        <v>15</v>
      </c>
      <c r="E165" s="27" t="s">
        <v>19</v>
      </c>
      <c r="F165" s="27" t="s">
        <v>17</v>
      </c>
      <c r="G165" s="28" t="s">
        <v>193</v>
      </c>
      <c r="H165" s="29">
        <f t="shared" si="0"/>
        <v>7.5000000000000011E-2</v>
      </c>
      <c r="I165" s="30">
        <v>0.34166666666666667</v>
      </c>
      <c r="J165" s="30">
        <v>0.41666666666666669</v>
      </c>
    </row>
    <row r="166" spans="1:12" ht="25.2" x14ac:dyDescent="0.2">
      <c r="A166" s="22">
        <v>45803</v>
      </c>
      <c r="B166" s="22" t="s">
        <v>60</v>
      </c>
      <c r="C166" s="27" t="s">
        <v>14</v>
      </c>
      <c r="D166" s="27" t="s">
        <v>15</v>
      </c>
      <c r="E166" s="27" t="s">
        <v>16</v>
      </c>
      <c r="F166" s="27" t="s">
        <v>17</v>
      </c>
      <c r="G166" s="28" t="s">
        <v>103</v>
      </c>
      <c r="H166" s="29">
        <f t="shared" si="0"/>
        <v>5.5555555555555358E-3</v>
      </c>
      <c r="I166" s="30">
        <v>0.41666666666666669</v>
      </c>
      <c r="J166" s="30">
        <v>0.42222222222222222</v>
      </c>
    </row>
    <row r="167" spans="1:12" ht="50.4" x14ac:dyDescent="0.2">
      <c r="A167" s="22">
        <v>45803</v>
      </c>
      <c r="B167" s="22" t="s">
        <v>60</v>
      </c>
      <c r="C167" s="27" t="s">
        <v>14</v>
      </c>
      <c r="D167" s="27" t="s">
        <v>15</v>
      </c>
      <c r="E167" s="27" t="s">
        <v>19</v>
      </c>
      <c r="F167" s="27" t="s">
        <v>17</v>
      </c>
      <c r="G167" s="28" t="s">
        <v>193</v>
      </c>
      <c r="H167" s="29">
        <f t="shared" si="0"/>
        <v>3.6111111111111094E-2</v>
      </c>
      <c r="I167" s="30">
        <v>0.42222222222222222</v>
      </c>
      <c r="J167" s="30">
        <v>0.45833333333333331</v>
      </c>
    </row>
    <row r="168" spans="1:12" ht="25.2" x14ac:dyDescent="0.2">
      <c r="A168" s="22">
        <v>45803</v>
      </c>
      <c r="B168" s="22" t="s">
        <v>60</v>
      </c>
      <c r="C168" s="27" t="s">
        <v>14</v>
      </c>
      <c r="D168" s="27" t="s">
        <v>15</v>
      </c>
      <c r="E168" s="27" t="s">
        <v>16</v>
      </c>
      <c r="F168" s="27" t="s">
        <v>17</v>
      </c>
      <c r="G168" s="28" t="s">
        <v>187</v>
      </c>
      <c r="H168" s="29">
        <f t="shared" si="0"/>
        <v>1.8750000000000044E-2</v>
      </c>
      <c r="I168" s="30">
        <v>0.45833333333333331</v>
      </c>
      <c r="J168" s="30">
        <v>0.47708333333333336</v>
      </c>
    </row>
    <row r="169" spans="1:12" ht="50.4" x14ac:dyDescent="0.2">
      <c r="A169" s="22">
        <v>45803</v>
      </c>
      <c r="B169" s="22" t="s">
        <v>60</v>
      </c>
      <c r="C169" s="27" t="s">
        <v>14</v>
      </c>
      <c r="D169" s="27" t="s">
        <v>15</v>
      </c>
      <c r="E169" s="27" t="s">
        <v>19</v>
      </c>
      <c r="F169" s="27" t="s">
        <v>17</v>
      </c>
      <c r="G169" s="28" t="s">
        <v>193</v>
      </c>
      <c r="H169" s="29">
        <f t="shared" si="0"/>
        <v>2.4999999999999967E-2</v>
      </c>
      <c r="I169" s="30">
        <v>0.47708333333333336</v>
      </c>
      <c r="J169" s="30">
        <v>0.50208333333333333</v>
      </c>
    </row>
    <row r="170" spans="1:12" x14ac:dyDescent="0.2">
      <c r="A170" s="22">
        <v>45803</v>
      </c>
      <c r="B170" s="22" t="s">
        <v>60</v>
      </c>
      <c r="C170" s="27" t="s">
        <v>14</v>
      </c>
      <c r="D170" s="27" t="s">
        <v>15</v>
      </c>
      <c r="E170" s="27" t="s">
        <v>25</v>
      </c>
      <c r="F170" s="27" t="s">
        <v>17</v>
      </c>
      <c r="G170" s="28" t="s">
        <v>194</v>
      </c>
      <c r="H170" s="29">
        <f t="shared" si="0"/>
        <v>3.9583333333333304E-2</v>
      </c>
      <c r="I170" s="30">
        <v>0.50208333333333333</v>
      </c>
      <c r="J170" s="30">
        <v>0.54166666666666663</v>
      </c>
    </row>
    <row r="171" spans="1:12" ht="50.4" x14ac:dyDescent="0.2">
      <c r="A171" s="22">
        <v>45803</v>
      </c>
      <c r="B171" s="22" t="s">
        <v>60</v>
      </c>
      <c r="C171" s="27" t="s">
        <v>14</v>
      </c>
      <c r="D171" s="27" t="s">
        <v>15</v>
      </c>
      <c r="E171" s="27" t="s">
        <v>19</v>
      </c>
      <c r="F171" s="27" t="s">
        <v>17</v>
      </c>
      <c r="G171" s="28" t="s">
        <v>195</v>
      </c>
      <c r="H171" s="29">
        <f t="shared" si="0"/>
        <v>0.125</v>
      </c>
      <c r="I171" s="30">
        <v>0.54166666666666663</v>
      </c>
      <c r="J171" s="30">
        <v>0.66666666666666663</v>
      </c>
    </row>
    <row r="172" spans="1:12" ht="50.4" x14ac:dyDescent="0.2">
      <c r="A172" s="22">
        <v>45803</v>
      </c>
      <c r="B172" s="22" t="s">
        <v>60</v>
      </c>
      <c r="C172" s="27" t="s">
        <v>14</v>
      </c>
      <c r="D172" s="27" t="s">
        <v>15</v>
      </c>
      <c r="E172" s="27" t="s">
        <v>16</v>
      </c>
      <c r="F172" s="27" t="s">
        <v>17</v>
      </c>
      <c r="G172" s="28" t="s">
        <v>196</v>
      </c>
      <c r="H172" s="29">
        <f t="shared" si="0"/>
        <v>7.2916666666666741E-2</v>
      </c>
      <c r="I172" s="30">
        <v>0.66666666666666663</v>
      </c>
      <c r="J172" s="30">
        <v>0.73958333333333337</v>
      </c>
      <c r="L172" s="66"/>
    </row>
    <row r="173" spans="1:12" ht="63" x14ac:dyDescent="0.2">
      <c r="A173" s="22">
        <v>45804</v>
      </c>
      <c r="B173" s="22" t="s">
        <v>13</v>
      </c>
      <c r="C173" s="27" t="s">
        <v>14</v>
      </c>
      <c r="D173" s="27" t="s">
        <v>15</v>
      </c>
      <c r="E173" s="27" t="s">
        <v>16</v>
      </c>
      <c r="F173" s="27" t="s">
        <v>17</v>
      </c>
      <c r="G173" s="28" t="s">
        <v>147</v>
      </c>
      <c r="H173" s="29">
        <f t="shared" si="0"/>
        <v>1.1805555555555569E-2</v>
      </c>
      <c r="I173" s="30">
        <v>0.32500000000000001</v>
      </c>
      <c r="J173" s="30">
        <v>0.33680555555555558</v>
      </c>
    </row>
    <row r="174" spans="1:12" ht="50.4" x14ac:dyDescent="0.2">
      <c r="A174" s="22">
        <v>45804</v>
      </c>
      <c r="B174" s="22" t="s">
        <v>13</v>
      </c>
      <c r="C174" s="27" t="s">
        <v>14</v>
      </c>
      <c r="D174" s="27" t="s">
        <v>15</v>
      </c>
      <c r="E174" s="27" t="s">
        <v>19</v>
      </c>
      <c r="F174" s="27" t="s">
        <v>17</v>
      </c>
      <c r="G174" s="28" t="s">
        <v>195</v>
      </c>
      <c r="H174" s="29">
        <f t="shared" ref="H174:H181" si="5">J174-I174</f>
        <v>7.9861111111111105E-2</v>
      </c>
      <c r="I174" s="30">
        <v>0.33680555555555558</v>
      </c>
      <c r="J174" s="30">
        <v>0.41666666666666669</v>
      </c>
    </row>
    <row r="175" spans="1:12" ht="25.2" x14ac:dyDescent="0.2">
      <c r="A175" s="22">
        <v>45804</v>
      </c>
      <c r="B175" s="22" t="s">
        <v>13</v>
      </c>
      <c r="C175" s="27" t="s">
        <v>14</v>
      </c>
      <c r="D175" s="27" t="s">
        <v>15</v>
      </c>
      <c r="E175" s="27" t="s">
        <v>16</v>
      </c>
      <c r="F175" s="27" t="s">
        <v>17</v>
      </c>
      <c r="G175" s="28" t="s">
        <v>103</v>
      </c>
      <c r="H175" s="29">
        <f t="shared" si="5"/>
        <v>4.1666666666666519E-3</v>
      </c>
      <c r="I175" s="30">
        <v>0.41666666666666669</v>
      </c>
      <c r="J175" s="30">
        <v>0.42083333333333334</v>
      </c>
    </row>
    <row r="176" spans="1:12" ht="50.4" x14ac:dyDescent="0.2">
      <c r="A176" s="22">
        <v>45804</v>
      </c>
      <c r="B176" s="22" t="s">
        <v>13</v>
      </c>
      <c r="C176" s="27" t="s">
        <v>14</v>
      </c>
      <c r="D176" s="27" t="s">
        <v>15</v>
      </c>
      <c r="E176" s="27" t="s">
        <v>19</v>
      </c>
      <c r="F176" s="27" t="s">
        <v>17</v>
      </c>
      <c r="G176" s="28" t="s">
        <v>195</v>
      </c>
      <c r="H176" s="29">
        <f t="shared" si="5"/>
        <v>3.7499999999999978E-2</v>
      </c>
      <c r="I176" s="30">
        <v>0.42083333333333334</v>
      </c>
      <c r="J176" s="30">
        <v>0.45833333333333331</v>
      </c>
    </row>
    <row r="177" spans="1:12" ht="25.2" x14ac:dyDescent="0.2">
      <c r="A177" s="22">
        <v>45804</v>
      </c>
      <c r="B177" s="22" t="s">
        <v>13</v>
      </c>
      <c r="C177" s="27" t="s">
        <v>14</v>
      </c>
      <c r="D177" s="27" t="s">
        <v>15</v>
      </c>
      <c r="E177" s="27" t="s">
        <v>16</v>
      </c>
      <c r="F177" s="27" t="s">
        <v>17</v>
      </c>
      <c r="G177" s="28" t="s">
        <v>187</v>
      </c>
      <c r="H177" s="29">
        <f t="shared" si="5"/>
        <v>8.3333333333333592E-3</v>
      </c>
      <c r="I177" s="30">
        <v>0.45833333333333331</v>
      </c>
      <c r="J177" s="30">
        <v>0.46666666666666667</v>
      </c>
    </row>
    <row r="178" spans="1:12" ht="50.4" x14ac:dyDescent="0.2">
      <c r="A178" s="22">
        <v>45804</v>
      </c>
      <c r="B178" s="22" t="s">
        <v>13</v>
      </c>
      <c r="C178" s="27" t="s">
        <v>14</v>
      </c>
      <c r="D178" s="27" t="s">
        <v>15</v>
      </c>
      <c r="E178" s="27" t="s">
        <v>19</v>
      </c>
      <c r="F178" s="27" t="s">
        <v>17</v>
      </c>
      <c r="G178" s="28" t="s">
        <v>195</v>
      </c>
      <c r="H178" s="29">
        <f t="shared" si="5"/>
        <v>3.472222222222221E-2</v>
      </c>
      <c r="I178" s="30">
        <v>0.46666666666666667</v>
      </c>
      <c r="J178" s="30">
        <v>0.50138888888888888</v>
      </c>
    </row>
    <row r="179" spans="1:12" x14ac:dyDescent="0.2">
      <c r="A179" s="22">
        <v>45804</v>
      </c>
      <c r="B179" s="22" t="s">
        <v>13</v>
      </c>
      <c r="C179" s="27" t="s">
        <v>14</v>
      </c>
      <c r="D179" s="27" t="s">
        <v>15</v>
      </c>
      <c r="E179" s="27" t="s">
        <v>25</v>
      </c>
      <c r="F179" s="27" t="s">
        <v>17</v>
      </c>
      <c r="G179" s="28" t="s">
        <v>197</v>
      </c>
      <c r="H179" s="29">
        <f t="shared" si="5"/>
        <v>4.0277777777777746E-2</v>
      </c>
      <c r="I179" s="30">
        <v>0.50138888888888888</v>
      </c>
      <c r="J179" s="30">
        <v>0.54166666666666663</v>
      </c>
    </row>
    <row r="180" spans="1:12" ht="50.4" x14ac:dyDescent="0.2">
      <c r="A180" s="22">
        <v>45804</v>
      </c>
      <c r="B180" s="22" t="s">
        <v>13</v>
      </c>
      <c r="C180" s="27" t="s">
        <v>14</v>
      </c>
      <c r="D180" s="27" t="s">
        <v>15</v>
      </c>
      <c r="E180" s="27" t="s">
        <v>19</v>
      </c>
      <c r="F180" s="27" t="s">
        <v>17</v>
      </c>
      <c r="G180" s="28" t="s">
        <v>195</v>
      </c>
      <c r="H180" s="29">
        <f t="shared" si="5"/>
        <v>0.125</v>
      </c>
      <c r="I180" s="30">
        <v>0.54166666666666663</v>
      </c>
      <c r="J180" s="30">
        <v>0.66666666666666663</v>
      </c>
    </row>
    <row r="181" spans="1:12" ht="50.4" x14ac:dyDescent="0.2">
      <c r="A181" s="22">
        <v>45804</v>
      </c>
      <c r="B181" s="22" t="s">
        <v>13</v>
      </c>
      <c r="C181" s="27" t="s">
        <v>14</v>
      </c>
      <c r="D181" s="27" t="s">
        <v>15</v>
      </c>
      <c r="E181" s="27" t="s">
        <v>16</v>
      </c>
      <c r="F181" s="27" t="s">
        <v>17</v>
      </c>
      <c r="G181" s="28" t="s">
        <v>198</v>
      </c>
      <c r="H181" s="29">
        <f t="shared" si="5"/>
        <v>5.9722222222222232E-2</v>
      </c>
      <c r="I181" s="30">
        <v>0.66666666666666663</v>
      </c>
      <c r="J181" s="30">
        <v>0.72638888888888886</v>
      </c>
      <c r="L181" s="66"/>
    </row>
    <row r="182" spans="1:12" ht="63" x14ac:dyDescent="0.2">
      <c r="A182" s="22">
        <v>45805</v>
      </c>
      <c r="B182" s="22" t="s">
        <v>30</v>
      </c>
      <c r="C182" s="27" t="s">
        <v>14</v>
      </c>
      <c r="D182" s="27" t="s">
        <v>15</v>
      </c>
      <c r="E182" s="27" t="s">
        <v>16</v>
      </c>
      <c r="F182" s="27" t="s">
        <v>17</v>
      </c>
      <c r="G182" s="28" t="s">
        <v>94</v>
      </c>
      <c r="H182" s="29">
        <f t="shared" si="0"/>
        <v>3.1944444444444442E-2</v>
      </c>
      <c r="I182" s="30">
        <v>0.32569444444444445</v>
      </c>
      <c r="J182" s="30">
        <v>0.3576388888888889</v>
      </c>
    </row>
    <row r="183" spans="1:12" ht="50.4" x14ac:dyDescent="0.2">
      <c r="A183" s="22">
        <v>45805</v>
      </c>
      <c r="B183" s="22" t="s">
        <v>30</v>
      </c>
      <c r="C183" s="27" t="s">
        <v>14</v>
      </c>
      <c r="D183" s="27" t="s">
        <v>15</v>
      </c>
      <c r="E183" s="27" t="s">
        <v>19</v>
      </c>
      <c r="F183" s="27" t="s">
        <v>17</v>
      </c>
      <c r="G183" s="28" t="s">
        <v>195</v>
      </c>
      <c r="H183" s="29">
        <f t="shared" si="0"/>
        <v>5.902777777777779E-2</v>
      </c>
      <c r="I183" s="30">
        <v>0.3576388888888889</v>
      </c>
      <c r="J183" s="30">
        <v>0.41666666666666669</v>
      </c>
    </row>
    <row r="184" spans="1:12" ht="25.2" x14ac:dyDescent="0.2">
      <c r="A184" s="22">
        <v>45805</v>
      </c>
      <c r="B184" s="22" t="s">
        <v>30</v>
      </c>
      <c r="C184" s="27" t="s">
        <v>14</v>
      </c>
      <c r="D184" s="27" t="s">
        <v>15</v>
      </c>
      <c r="E184" s="27" t="s">
        <v>16</v>
      </c>
      <c r="F184" s="27" t="s">
        <v>17</v>
      </c>
      <c r="G184" s="28" t="s">
        <v>103</v>
      </c>
      <c r="H184" s="29">
        <f t="shared" si="0"/>
        <v>5.5555555555555358E-3</v>
      </c>
      <c r="I184" s="30">
        <v>0.41666666666666669</v>
      </c>
      <c r="J184" s="30">
        <v>0.42222222222222222</v>
      </c>
    </row>
    <row r="185" spans="1:12" ht="50.4" x14ac:dyDescent="0.2">
      <c r="A185" s="22">
        <v>45805</v>
      </c>
      <c r="B185" s="22" t="s">
        <v>30</v>
      </c>
      <c r="C185" s="27" t="s">
        <v>14</v>
      </c>
      <c r="D185" s="27" t="s">
        <v>15</v>
      </c>
      <c r="E185" s="27" t="s">
        <v>19</v>
      </c>
      <c r="F185" s="27" t="s">
        <v>17</v>
      </c>
      <c r="G185" s="28" t="s">
        <v>195</v>
      </c>
      <c r="H185" s="29">
        <f t="shared" si="0"/>
        <v>3.6111111111111094E-2</v>
      </c>
      <c r="I185" s="30">
        <v>0.42222222222222222</v>
      </c>
      <c r="J185" s="30">
        <v>0.45833333333333331</v>
      </c>
    </row>
    <row r="186" spans="1:12" ht="25.2" x14ac:dyDescent="0.2">
      <c r="A186" s="22">
        <v>45805</v>
      </c>
      <c r="B186" s="22" t="s">
        <v>30</v>
      </c>
      <c r="C186" s="27" t="s">
        <v>14</v>
      </c>
      <c r="D186" s="27" t="s">
        <v>15</v>
      </c>
      <c r="E186" s="27" t="s">
        <v>16</v>
      </c>
      <c r="F186" s="27" t="s">
        <v>17</v>
      </c>
      <c r="G186" s="28" t="s">
        <v>187</v>
      </c>
      <c r="H186" s="29">
        <f t="shared" si="0"/>
        <v>2.777777777777779E-2</v>
      </c>
      <c r="I186" s="30">
        <v>0.45833333333333331</v>
      </c>
      <c r="J186" s="30">
        <v>0.4861111111111111</v>
      </c>
    </row>
    <row r="187" spans="1:12" ht="50.4" x14ac:dyDescent="0.2">
      <c r="A187" s="22">
        <v>45805</v>
      </c>
      <c r="B187" s="22" t="s">
        <v>30</v>
      </c>
      <c r="C187" s="27" t="s">
        <v>14</v>
      </c>
      <c r="D187" s="27" t="s">
        <v>15</v>
      </c>
      <c r="E187" s="27" t="s">
        <v>19</v>
      </c>
      <c r="F187" s="27" t="s">
        <v>17</v>
      </c>
      <c r="G187" s="28" t="s">
        <v>195</v>
      </c>
      <c r="H187" s="29">
        <f t="shared" si="0"/>
        <v>1.5972222222222221E-2</v>
      </c>
      <c r="I187" s="30">
        <v>0.4861111111111111</v>
      </c>
      <c r="J187" s="30">
        <v>0.50208333333333333</v>
      </c>
    </row>
    <row r="188" spans="1:12" x14ac:dyDescent="0.2">
      <c r="A188" s="22">
        <v>45805</v>
      </c>
      <c r="B188" s="22" t="s">
        <v>30</v>
      </c>
      <c r="C188" s="27" t="s">
        <v>14</v>
      </c>
      <c r="D188" s="27" t="s">
        <v>15</v>
      </c>
      <c r="E188" s="27" t="s">
        <v>25</v>
      </c>
      <c r="F188" s="27" t="s">
        <v>17</v>
      </c>
      <c r="G188" s="28" t="s">
        <v>194</v>
      </c>
      <c r="H188" s="29">
        <f t="shared" si="0"/>
        <v>3.9583333333333304E-2</v>
      </c>
      <c r="I188" s="30">
        <v>0.50208333333333333</v>
      </c>
      <c r="J188" s="30">
        <v>0.54166666666666663</v>
      </c>
    </row>
    <row r="189" spans="1:12" ht="50.4" x14ac:dyDescent="0.2">
      <c r="A189" s="22">
        <v>45805</v>
      </c>
      <c r="B189" s="22" t="s">
        <v>30</v>
      </c>
      <c r="C189" s="27" t="s">
        <v>14</v>
      </c>
      <c r="D189" s="27" t="s">
        <v>15</v>
      </c>
      <c r="E189" s="27" t="s">
        <v>19</v>
      </c>
      <c r="F189" s="27" t="s">
        <v>17</v>
      </c>
      <c r="G189" s="28" t="s">
        <v>195</v>
      </c>
      <c r="H189" s="29">
        <f t="shared" si="0"/>
        <v>0.125</v>
      </c>
      <c r="I189" s="30">
        <v>0.54166666666666663</v>
      </c>
      <c r="J189" s="30">
        <v>0.66666666666666663</v>
      </c>
    </row>
    <row r="190" spans="1:12" ht="37.799999999999997" x14ac:dyDescent="0.2">
      <c r="A190" s="22">
        <v>45805</v>
      </c>
      <c r="B190" s="22" t="s">
        <v>30</v>
      </c>
      <c r="C190" s="27" t="s">
        <v>14</v>
      </c>
      <c r="D190" s="27" t="s">
        <v>15</v>
      </c>
      <c r="E190" s="27" t="s">
        <v>16</v>
      </c>
      <c r="F190" s="27" t="s">
        <v>17</v>
      </c>
      <c r="G190" s="28" t="s">
        <v>199</v>
      </c>
      <c r="H190" s="29">
        <f t="shared" si="0"/>
        <v>6.3888888888888884E-2</v>
      </c>
      <c r="I190" s="30">
        <v>0.66666666666666663</v>
      </c>
      <c r="J190" s="30">
        <v>0.73055555555555551</v>
      </c>
      <c r="L190" s="66"/>
    </row>
    <row r="191" spans="1:12" ht="63" x14ac:dyDescent="0.2">
      <c r="A191" s="22">
        <v>45806</v>
      </c>
      <c r="B191" s="22" t="s">
        <v>41</v>
      </c>
      <c r="C191" s="27" t="s">
        <v>14</v>
      </c>
      <c r="D191" s="27" t="s">
        <v>15</v>
      </c>
      <c r="E191" s="27" t="s">
        <v>16</v>
      </c>
      <c r="F191" s="27" t="s">
        <v>17</v>
      </c>
      <c r="G191" s="28" t="s">
        <v>147</v>
      </c>
      <c r="H191" s="29">
        <f t="shared" si="0"/>
        <v>1.8749999999999989E-2</v>
      </c>
      <c r="I191" s="30">
        <v>0.32500000000000001</v>
      </c>
      <c r="J191" s="30">
        <v>0.34375</v>
      </c>
    </row>
    <row r="192" spans="1:12" ht="50.4" x14ac:dyDescent="0.2">
      <c r="A192" s="22">
        <v>45806</v>
      </c>
      <c r="B192" s="22" t="s">
        <v>41</v>
      </c>
      <c r="C192" s="27" t="s">
        <v>14</v>
      </c>
      <c r="D192" s="27" t="s">
        <v>15</v>
      </c>
      <c r="E192" s="27" t="s">
        <v>19</v>
      </c>
      <c r="F192" s="27" t="s">
        <v>17</v>
      </c>
      <c r="G192" s="28" t="s">
        <v>195</v>
      </c>
      <c r="H192" s="29">
        <f t="shared" ref="H192:H199" si="6">J192-I192</f>
        <v>7.2916666666666685E-2</v>
      </c>
      <c r="I192" s="30">
        <v>0.34375</v>
      </c>
      <c r="J192" s="30">
        <v>0.41666666666666669</v>
      </c>
    </row>
    <row r="193" spans="1:12" ht="25.2" x14ac:dyDescent="0.2">
      <c r="A193" s="22">
        <v>45806</v>
      </c>
      <c r="B193" s="22" t="s">
        <v>41</v>
      </c>
      <c r="C193" s="27" t="s">
        <v>14</v>
      </c>
      <c r="D193" s="27" t="s">
        <v>15</v>
      </c>
      <c r="E193" s="27" t="s">
        <v>16</v>
      </c>
      <c r="F193" s="27" t="s">
        <v>17</v>
      </c>
      <c r="G193" s="28" t="s">
        <v>103</v>
      </c>
      <c r="H193" s="29">
        <f t="shared" si="6"/>
        <v>8.3333333333333037E-3</v>
      </c>
      <c r="I193" s="30">
        <v>0.41666666666666669</v>
      </c>
      <c r="J193" s="30">
        <v>0.42499999999999999</v>
      </c>
    </row>
    <row r="194" spans="1:12" ht="50.4" x14ac:dyDescent="0.2">
      <c r="A194" s="22">
        <v>45806</v>
      </c>
      <c r="B194" s="22" t="s">
        <v>41</v>
      </c>
      <c r="C194" s="27" t="s">
        <v>14</v>
      </c>
      <c r="D194" s="27" t="s">
        <v>15</v>
      </c>
      <c r="E194" s="27" t="s">
        <v>19</v>
      </c>
      <c r="F194" s="27" t="s">
        <v>17</v>
      </c>
      <c r="G194" s="28" t="s">
        <v>195</v>
      </c>
      <c r="H194" s="29">
        <f t="shared" si="6"/>
        <v>3.3333333333333326E-2</v>
      </c>
      <c r="I194" s="30">
        <v>0.42499999999999999</v>
      </c>
      <c r="J194" s="30">
        <v>0.45833333333333331</v>
      </c>
    </row>
    <row r="195" spans="1:12" ht="25.2" x14ac:dyDescent="0.2">
      <c r="A195" s="22">
        <v>45806</v>
      </c>
      <c r="B195" s="22" t="s">
        <v>41</v>
      </c>
      <c r="C195" s="27" t="s">
        <v>14</v>
      </c>
      <c r="D195" s="27" t="s">
        <v>15</v>
      </c>
      <c r="E195" s="27" t="s">
        <v>16</v>
      </c>
      <c r="F195" s="27" t="s">
        <v>17</v>
      </c>
      <c r="G195" s="28" t="s">
        <v>187</v>
      </c>
      <c r="H195" s="29">
        <f t="shared" si="6"/>
        <v>4.8611111111111494E-3</v>
      </c>
      <c r="I195" s="30">
        <v>0.45833333333333331</v>
      </c>
      <c r="J195" s="30">
        <v>0.46319444444444446</v>
      </c>
    </row>
    <row r="196" spans="1:12" ht="50.4" x14ac:dyDescent="0.2">
      <c r="A196" s="22">
        <v>45806</v>
      </c>
      <c r="B196" s="22" t="s">
        <v>41</v>
      </c>
      <c r="C196" s="27" t="s">
        <v>14</v>
      </c>
      <c r="D196" s="27" t="s">
        <v>15</v>
      </c>
      <c r="E196" s="27" t="s">
        <v>19</v>
      </c>
      <c r="F196" s="27" t="s">
        <v>17</v>
      </c>
      <c r="G196" s="28" t="s">
        <v>195</v>
      </c>
      <c r="H196" s="29">
        <f t="shared" si="6"/>
        <v>3.8888888888888862E-2</v>
      </c>
      <c r="I196" s="30">
        <v>0.46319444444444446</v>
      </c>
      <c r="J196" s="30">
        <v>0.50208333333333333</v>
      </c>
    </row>
    <row r="197" spans="1:12" x14ac:dyDescent="0.2">
      <c r="A197" s="22">
        <v>45806</v>
      </c>
      <c r="B197" s="22" t="s">
        <v>41</v>
      </c>
      <c r="C197" s="27" t="s">
        <v>14</v>
      </c>
      <c r="D197" s="27" t="s">
        <v>15</v>
      </c>
      <c r="E197" s="27" t="s">
        <v>25</v>
      </c>
      <c r="F197" s="27" t="s">
        <v>17</v>
      </c>
      <c r="G197" s="28" t="s">
        <v>194</v>
      </c>
      <c r="H197" s="29">
        <f t="shared" si="6"/>
        <v>4.0277777777777746E-2</v>
      </c>
      <c r="I197" s="30">
        <v>0.50208333333333333</v>
      </c>
      <c r="J197" s="30">
        <v>0.54236111111111107</v>
      </c>
    </row>
    <row r="198" spans="1:12" ht="50.4" x14ac:dyDescent="0.2">
      <c r="A198" s="22">
        <v>45806</v>
      </c>
      <c r="B198" s="22" t="s">
        <v>41</v>
      </c>
      <c r="C198" s="27" t="s">
        <v>14</v>
      </c>
      <c r="D198" s="27" t="s">
        <v>15</v>
      </c>
      <c r="E198" s="27" t="s">
        <v>19</v>
      </c>
      <c r="F198" s="27" t="s">
        <v>17</v>
      </c>
      <c r="G198" s="28" t="s">
        <v>195</v>
      </c>
      <c r="H198" s="29">
        <f t="shared" si="6"/>
        <v>0.12430555555555556</v>
      </c>
      <c r="I198" s="30">
        <v>0.54236111111111107</v>
      </c>
      <c r="J198" s="30">
        <v>0.66666666666666663</v>
      </c>
    </row>
    <row r="199" spans="1:12" ht="37.799999999999997" x14ac:dyDescent="0.2">
      <c r="A199" s="22">
        <v>45806</v>
      </c>
      <c r="B199" s="22" t="s">
        <v>41</v>
      </c>
      <c r="C199" s="27" t="s">
        <v>14</v>
      </c>
      <c r="D199" s="27" t="s">
        <v>15</v>
      </c>
      <c r="E199" s="27" t="s">
        <v>16</v>
      </c>
      <c r="F199" s="27" t="s">
        <v>17</v>
      </c>
      <c r="G199" s="28" t="s">
        <v>200</v>
      </c>
      <c r="H199" s="29">
        <f t="shared" si="6"/>
        <v>5.3472222222222254E-2</v>
      </c>
      <c r="I199" s="30">
        <v>0.66666666666666663</v>
      </c>
      <c r="J199" s="30">
        <v>0.72013888888888888</v>
      </c>
      <c r="L199" s="66"/>
    </row>
    <row r="200" spans="1:12" ht="63" x14ac:dyDescent="0.2">
      <c r="A200" s="22">
        <v>45807</v>
      </c>
      <c r="B200" s="22" t="s">
        <v>50</v>
      </c>
      <c r="C200" s="27" t="s">
        <v>14</v>
      </c>
      <c r="D200" s="27" t="s">
        <v>15</v>
      </c>
      <c r="E200" s="27" t="s">
        <v>16</v>
      </c>
      <c r="F200" s="27" t="s">
        <v>17</v>
      </c>
      <c r="G200" s="28" t="s">
        <v>147</v>
      </c>
      <c r="H200" s="29">
        <f t="shared" si="0"/>
        <v>1.2500000000000011E-2</v>
      </c>
      <c r="I200" s="30">
        <v>0.32500000000000001</v>
      </c>
      <c r="J200" s="30">
        <v>0.33750000000000002</v>
      </c>
    </row>
    <row r="201" spans="1:12" ht="50.4" x14ac:dyDescent="0.2">
      <c r="A201" s="22">
        <v>45807</v>
      </c>
      <c r="B201" s="22" t="s">
        <v>50</v>
      </c>
      <c r="C201" s="27" t="s">
        <v>14</v>
      </c>
      <c r="D201" s="27" t="s">
        <v>15</v>
      </c>
      <c r="E201" s="27" t="s">
        <v>19</v>
      </c>
      <c r="F201" s="27" t="s">
        <v>17</v>
      </c>
      <c r="G201" s="28" t="s">
        <v>195</v>
      </c>
      <c r="H201" s="29">
        <f t="shared" si="0"/>
        <v>7.9166666666666663E-2</v>
      </c>
      <c r="I201" s="30">
        <v>0.33750000000000002</v>
      </c>
      <c r="J201" s="30">
        <v>0.41666666666666669</v>
      </c>
    </row>
    <row r="202" spans="1:12" ht="25.2" x14ac:dyDescent="0.2">
      <c r="A202" s="22">
        <v>45807</v>
      </c>
      <c r="B202" s="22" t="s">
        <v>50</v>
      </c>
      <c r="C202" s="27" t="s">
        <v>14</v>
      </c>
      <c r="D202" s="27" t="s">
        <v>15</v>
      </c>
      <c r="E202" s="27" t="s">
        <v>16</v>
      </c>
      <c r="F202" s="27" t="s">
        <v>17</v>
      </c>
      <c r="G202" s="28" t="s">
        <v>103</v>
      </c>
      <c r="H202" s="29">
        <f t="shared" si="0"/>
        <v>8.3333333333333037E-3</v>
      </c>
      <c r="I202" s="30">
        <v>0.41666666666666669</v>
      </c>
      <c r="J202" s="30">
        <v>0.42499999999999999</v>
      </c>
    </row>
    <row r="203" spans="1:12" ht="50.4" x14ac:dyDescent="0.2">
      <c r="A203" s="22">
        <v>45807</v>
      </c>
      <c r="B203" s="22" t="s">
        <v>50</v>
      </c>
      <c r="C203" s="27" t="s">
        <v>14</v>
      </c>
      <c r="D203" s="27" t="s">
        <v>15</v>
      </c>
      <c r="E203" s="27" t="s">
        <v>19</v>
      </c>
      <c r="F203" s="27" t="s">
        <v>17</v>
      </c>
      <c r="G203" s="28" t="s">
        <v>195</v>
      </c>
      <c r="H203" s="29">
        <f t="shared" si="0"/>
        <v>3.3333333333333326E-2</v>
      </c>
      <c r="I203" s="30">
        <v>0.42499999999999999</v>
      </c>
      <c r="J203" s="30">
        <v>0.45833333333333331</v>
      </c>
    </row>
    <row r="204" spans="1:12" ht="25.2" x14ac:dyDescent="0.2">
      <c r="A204" s="22">
        <v>45807</v>
      </c>
      <c r="B204" s="22" t="s">
        <v>50</v>
      </c>
      <c r="C204" s="27" t="s">
        <v>14</v>
      </c>
      <c r="D204" s="27" t="s">
        <v>15</v>
      </c>
      <c r="E204" s="27" t="s">
        <v>16</v>
      </c>
      <c r="F204" s="27" t="s">
        <v>17</v>
      </c>
      <c r="G204" s="28" t="s">
        <v>187</v>
      </c>
      <c r="H204" s="29">
        <f t="shared" si="0"/>
        <v>2.083333333333337E-2</v>
      </c>
      <c r="I204" s="30">
        <v>0.45833333333333331</v>
      </c>
      <c r="J204" s="30">
        <v>0.47916666666666669</v>
      </c>
    </row>
    <row r="205" spans="1:12" ht="50.4" x14ac:dyDescent="0.2">
      <c r="A205" s="22">
        <v>45807</v>
      </c>
      <c r="B205" s="22" t="s">
        <v>50</v>
      </c>
      <c r="C205" s="27" t="s">
        <v>14</v>
      </c>
      <c r="D205" s="27" t="s">
        <v>15</v>
      </c>
      <c r="E205" s="27" t="s">
        <v>36</v>
      </c>
      <c r="F205" s="27" t="s">
        <v>17</v>
      </c>
      <c r="G205" s="28" t="s">
        <v>201</v>
      </c>
      <c r="H205" s="29">
        <f t="shared" si="0"/>
        <v>2.2222222222222199E-2</v>
      </c>
      <c r="I205" s="30">
        <v>0.47916666666666669</v>
      </c>
      <c r="J205" s="30">
        <v>0.50138888888888888</v>
      </c>
    </row>
    <row r="206" spans="1:12" x14ac:dyDescent="0.2">
      <c r="A206" s="22">
        <v>45807</v>
      </c>
      <c r="B206" s="22" t="s">
        <v>50</v>
      </c>
      <c r="C206" s="27" t="s">
        <v>14</v>
      </c>
      <c r="D206" s="27" t="s">
        <v>15</v>
      </c>
      <c r="E206" s="27" t="s">
        <v>25</v>
      </c>
      <c r="F206" s="27" t="s">
        <v>17</v>
      </c>
      <c r="G206" s="28" t="s">
        <v>197</v>
      </c>
      <c r="H206" s="29">
        <f t="shared" si="0"/>
        <v>4.0972222222222188E-2</v>
      </c>
      <c r="I206" s="30">
        <v>0.50138888888888888</v>
      </c>
      <c r="J206" s="30">
        <v>0.54236111111111107</v>
      </c>
    </row>
    <row r="207" spans="1:12" ht="50.4" x14ac:dyDescent="0.2">
      <c r="A207" s="22">
        <v>45807</v>
      </c>
      <c r="B207" s="22" t="s">
        <v>50</v>
      </c>
      <c r="C207" s="27" t="s">
        <v>14</v>
      </c>
      <c r="D207" s="27" t="s">
        <v>15</v>
      </c>
      <c r="E207" s="27" t="s">
        <v>36</v>
      </c>
      <c r="F207" s="27" t="s">
        <v>17</v>
      </c>
      <c r="G207" s="28" t="s">
        <v>202</v>
      </c>
      <c r="H207" s="29">
        <f t="shared" si="0"/>
        <v>0.12430555555555556</v>
      </c>
      <c r="I207" s="30">
        <v>0.54236111111111107</v>
      </c>
      <c r="J207" s="30">
        <v>0.66666666666666663</v>
      </c>
    </row>
    <row r="208" spans="1:12" ht="50.4" x14ac:dyDescent="0.2">
      <c r="A208" s="22">
        <v>45807</v>
      </c>
      <c r="B208" s="22" t="s">
        <v>50</v>
      </c>
      <c r="C208" s="27" t="s">
        <v>14</v>
      </c>
      <c r="D208" s="27" t="s">
        <v>15</v>
      </c>
      <c r="E208" s="27" t="s">
        <v>16</v>
      </c>
      <c r="F208" s="27" t="s">
        <v>17</v>
      </c>
      <c r="G208" s="28" t="s">
        <v>203</v>
      </c>
      <c r="H208" s="29">
        <f t="shared" si="0"/>
        <v>6.25E-2</v>
      </c>
      <c r="I208" s="30">
        <v>0.66666666666666663</v>
      </c>
      <c r="J208" s="30">
        <v>0.72916666666666663</v>
      </c>
      <c r="L208" s="66"/>
    </row>
    <row r="209" spans="1:10" ht="13.95" customHeight="1" x14ac:dyDescent="0.25">
      <c r="A209" s="31">
        <v>45808</v>
      </c>
      <c r="B209" s="31" t="s">
        <v>58</v>
      </c>
      <c r="C209" s="98"/>
      <c r="D209" s="98"/>
      <c r="E209" s="98"/>
      <c r="F209" s="32"/>
      <c r="G209" s="98"/>
      <c r="H209" s="34">
        <f t="shared" si="0"/>
        <v>0</v>
      </c>
      <c r="I209" s="99"/>
      <c r="J209" s="32"/>
    </row>
    <row r="210" spans="1:10" ht="13.95" customHeight="1" thickBot="1" x14ac:dyDescent="0.3">
      <c r="A210" s="46"/>
      <c r="B210" s="45"/>
      <c r="C210" s="45"/>
      <c r="D210" s="45"/>
      <c r="E210" s="45"/>
      <c r="F210" s="45"/>
      <c r="G210" s="45"/>
      <c r="H210" s="36"/>
      <c r="I210" s="37"/>
    </row>
    <row r="211" spans="1:10" ht="13.95" customHeight="1" x14ac:dyDescent="0.25">
      <c r="A211" s="4"/>
      <c r="B211" s="4"/>
      <c r="C211" s="5"/>
      <c r="D211" s="6"/>
      <c r="E211" s="7" t="s">
        <v>153</v>
      </c>
      <c r="F211" s="8">
        <f>F212*8</f>
        <v>168</v>
      </c>
      <c r="H211" s="40"/>
    </row>
    <row r="212" spans="1:10" ht="13.95" customHeight="1" thickBot="1" x14ac:dyDescent="0.3">
      <c r="A212" s="4"/>
      <c r="B212" s="4"/>
      <c r="C212" s="9"/>
      <c r="D212" s="2"/>
      <c r="E212" s="10" t="s">
        <v>154</v>
      </c>
      <c r="F212" s="11">
        <v>21</v>
      </c>
      <c r="H212" s="40"/>
    </row>
    <row r="213" spans="1:10" ht="13.95" customHeight="1" thickBot="1" x14ac:dyDescent="0.3">
      <c r="A213" s="124" t="s">
        <v>155</v>
      </c>
      <c r="B213" s="124"/>
      <c r="C213" s="124"/>
      <c r="D213" s="12"/>
      <c r="E213" s="2"/>
      <c r="F213" s="2"/>
      <c r="H213" s="40"/>
    </row>
    <row r="214" spans="1:10" ht="13.8" x14ac:dyDescent="0.25">
      <c r="A214" s="13"/>
      <c r="B214" s="13"/>
      <c r="C214" s="6"/>
      <c r="D214" s="6"/>
      <c r="E214" s="14" t="s">
        <v>156</v>
      </c>
      <c r="F214" s="15">
        <f>SUMIF(F9:F209,"Billable",H9:H209)</f>
        <v>0</v>
      </c>
      <c r="H214" s="38"/>
    </row>
    <row r="215" spans="1:10" ht="15" customHeight="1" thickBot="1" x14ac:dyDescent="0.3">
      <c r="A215" s="125" t="s">
        <v>157</v>
      </c>
      <c r="B215" s="125"/>
      <c r="C215" s="125"/>
      <c r="D215" s="16"/>
      <c r="E215" s="17" t="s">
        <v>158</v>
      </c>
      <c r="F215" s="18">
        <f>SUMIF(F9:F209,"Non-Billable",H9:H209)</f>
        <v>8.8993055555555554</v>
      </c>
      <c r="H215" s="40"/>
    </row>
    <row r="216" spans="1:10" ht="14.4" thickBot="1" x14ac:dyDescent="0.3">
      <c r="A216" s="2"/>
      <c r="B216" s="2"/>
      <c r="C216" s="2"/>
      <c r="D216" s="2"/>
      <c r="E216" s="19" t="s">
        <v>159</v>
      </c>
      <c r="F216" s="44">
        <f>F214+F215</f>
        <v>8.8993055555555554</v>
      </c>
      <c r="H216" s="40"/>
    </row>
    <row r="217" spans="1:10" ht="13.8" thickBot="1" x14ac:dyDescent="0.3">
      <c r="A217" s="2"/>
      <c r="B217" s="2"/>
      <c r="C217" s="2"/>
      <c r="D217" s="2"/>
      <c r="E217" s="2"/>
      <c r="F217" s="2"/>
      <c r="H217" s="40"/>
    </row>
    <row r="218" spans="1:10" ht="13.8" thickBot="1" x14ac:dyDescent="0.3">
      <c r="A218" s="2"/>
      <c r="B218" s="2"/>
      <c r="C218" s="2"/>
      <c r="D218" s="2"/>
      <c r="E218" s="20" t="s">
        <v>160</v>
      </c>
      <c r="F218" s="21"/>
      <c r="H218" s="40"/>
    </row>
    <row r="219" spans="1:10" ht="13.2" thickBot="1" x14ac:dyDescent="0.25">
      <c r="E219" s="39"/>
      <c r="H219" s="40"/>
    </row>
    <row r="220" spans="1:10" ht="6" customHeight="1" x14ac:dyDescent="0.2"/>
  </sheetData>
  <mergeCells count="2">
    <mergeCell ref="A213:C213"/>
    <mergeCell ref="A215:C21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21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209:E211 D213:E215 E218">
    <cfRule type="containsText" dxfId="70" priority="1" operator="containsText" text="Religious Leave">
      <formula>NOT(ISERROR(SEARCH("Religious Leave",D209)))</formula>
    </cfRule>
    <cfRule type="containsText" dxfId="69" priority="2" operator="containsText" text="Birthday Leave">
      <formula>NOT(ISERROR(SEARCH("Birthday Leave",D209)))</formula>
    </cfRule>
    <cfRule type="containsText" dxfId="68" priority="3" operator="containsText" text="Study Leave">
      <formula>NOT(ISERROR(SEARCH("Study Leave",D209)))</formula>
    </cfRule>
    <cfRule type="containsText" dxfId="67" priority="4" operator="containsText" text="Family Responsibility Leave">
      <formula>NOT(ISERROR(SEARCH("Family Responsibility Leave",D209)))</formula>
    </cfRule>
    <cfRule type="containsText" dxfId="66" priority="5" operator="containsText" text="Sick Leave">
      <formula>NOT(ISERROR(SEARCH("Sick Leave",D209)))</formula>
    </cfRule>
    <cfRule type="containsText" dxfId="65" priority="6" operator="containsText" text="Annual Leave">
      <formula>NOT(ISERROR(SEARCH("Annual Leave",D209)))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8 I50:J20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Key!$H$5:$H$79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Key!$K$3:$K$4</xm:f>
          </x14:formula1>
          <xm:sqref>F9:F209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C9:C208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E9:E208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topLeftCell="A12"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45809</v>
      </c>
      <c r="B9" s="31" t="s">
        <v>59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45810</v>
      </c>
      <c r="B10" s="22" t="s">
        <v>60</v>
      </c>
      <c r="C10" s="27" t="s">
        <v>14</v>
      </c>
      <c r="D10" s="27" t="s">
        <v>204</v>
      </c>
      <c r="E10" s="27" t="s">
        <v>205</v>
      </c>
      <c r="F10" s="27" t="s">
        <v>206</v>
      </c>
      <c r="G10" s="28" t="s">
        <v>207</v>
      </c>
      <c r="H10" s="29">
        <f t="shared" ref="H10:H35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45811</v>
      </c>
      <c r="B11" s="22" t="s">
        <v>13</v>
      </c>
      <c r="C11" s="27"/>
      <c r="D11" s="27"/>
      <c r="E11" s="27"/>
      <c r="F11" s="27"/>
      <c r="G11" s="28"/>
      <c r="H11" s="29">
        <f t="shared" si="0"/>
        <v>0</v>
      </c>
      <c r="I11" s="30"/>
      <c r="J11" s="30"/>
    </row>
    <row r="12" spans="1:10" x14ac:dyDescent="0.2">
      <c r="A12" s="22">
        <v>45812</v>
      </c>
      <c r="B12" s="22" t="s">
        <v>30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45813</v>
      </c>
      <c r="B13" s="22" t="s">
        <v>41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45814</v>
      </c>
      <c r="B14" s="22" t="s">
        <v>50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45815</v>
      </c>
      <c r="B15" s="31" t="s">
        <v>58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45816</v>
      </c>
      <c r="B16" s="31" t="s">
        <v>59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45817</v>
      </c>
      <c r="B17" s="22" t="s">
        <v>60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45818</v>
      </c>
      <c r="B18" s="22" t="s">
        <v>13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45819</v>
      </c>
      <c r="B19" s="22" t="s">
        <v>30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45820</v>
      </c>
      <c r="B20" s="22" t="s">
        <v>41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45821</v>
      </c>
      <c r="B21" s="22" t="s">
        <v>50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31">
        <v>45822</v>
      </c>
      <c r="B22" s="31" t="s">
        <v>58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45823</v>
      </c>
      <c r="B23" s="31" t="s">
        <v>59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47">
        <v>45824</v>
      </c>
      <c r="B24" s="47" t="s">
        <v>60</v>
      </c>
      <c r="C24" s="48" t="s">
        <v>14</v>
      </c>
      <c r="D24" s="48"/>
      <c r="E24" s="48" t="s">
        <v>121</v>
      </c>
      <c r="F24" s="48" t="s">
        <v>17</v>
      </c>
      <c r="G24" s="49" t="s">
        <v>208</v>
      </c>
      <c r="H24" s="50">
        <f t="shared" si="0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45825</v>
      </c>
      <c r="B25" s="22" t="s">
        <v>13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45826</v>
      </c>
      <c r="B26" s="22" t="s">
        <v>30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45827</v>
      </c>
      <c r="B27" s="22" t="s">
        <v>41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45828</v>
      </c>
      <c r="B28" s="22" t="s">
        <v>50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31">
        <v>45829</v>
      </c>
      <c r="B29" s="31" t="s">
        <v>58</v>
      </c>
      <c r="C29" s="32"/>
      <c r="D29" s="32"/>
      <c r="E29" s="32"/>
      <c r="F29" s="32"/>
      <c r="G29" s="33"/>
      <c r="H29" s="34">
        <f t="shared" si="0"/>
        <v>0</v>
      </c>
      <c r="I29" s="35"/>
      <c r="J29" s="35"/>
    </row>
    <row r="30" spans="1:10" x14ac:dyDescent="0.2">
      <c r="A30" s="31">
        <v>45830</v>
      </c>
      <c r="B30" s="31" t="s">
        <v>59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22">
        <v>45831</v>
      </c>
      <c r="B31" s="22" t="s">
        <v>60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 x14ac:dyDescent="0.2">
      <c r="A32" s="22">
        <v>45832</v>
      </c>
      <c r="B32" s="22" t="s">
        <v>13</v>
      </c>
      <c r="C32" s="27"/>
      <c r="D32" s="27"/>
      <c r="E32" s="27"/>
      <c r="F32" s="27"/>
      <c r="G32" s="28"/>
      <c r="H32" s="29">
        <f t="shared" ref="H32" si="1">J32-I32</f>
        <v>0</v>
      </c>
      <c r="I32" s="30"/>
      <c r="J32" s="30"/>
    </row>
    <row r="33" spans="1:10" x14ac:dyDescent="0.2">
      <c r="A33" s="22">
        <v>45833</v>
      </c>
      <c r="B33" s="22" t="s">
        <v>30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45834</v>
      </c>
      <c r="B34" s="22" t="s">
        <v>41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45835</v>
      </c>
      <c r="B35" s="22" t="s">
        <v>50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31">
        <v>45836</v>
      </c>
      <c r="B36" s="31" t="s">
        <v>58</v>
      </c>
      <c r="C36" s="32"/>
      <c r="D36" s="32"/>
      <c r="E36" s="32"/>
      <c r="F36" s="32"/>
      <c r="G36" s="33"/>
      <c r="H36" s="34">
        <f t="shared" ref="H36:H38" si="2">J36-I36</f>
        <v>0</v>
      </c>
      <c r="I36" s="35"/>
      <c r="J36" s="35"/>
    </row>
    <row r="37" spans="1:10" x14ac:dyDescent="0.2">
      <c r="A37" s="31">
        <v>45837</v>
      </c>
      <c r="B37" s="31" t="s">
        <v>59</v>
      </c>
      <c r="C37" s="32"/>
      <c r="D37" s="32"/>
      <c r="E37" s="32"/>
      <c r="F37" s="32"/>
      <c r="G37" s="33"/>
      <c r="H37" s="34">
        <f t="shared" si="2"/>
        <v>0</v>
      </c>
      <c r="I37" s="35"/>
      <c r="J37" s="35"/>
    </row>
    <row r="38" spans="1:10" ht="13.2" thickBot="1" x14ac:dyDescent="0.25">
      <c r="A38" s="22">
        <v>45838</v>
      </c>
      <c r="B38" s="22" t="s">
        <v>60</v>
      </c>
      <c r="C38" s="27"/>
      <c r="D38" s="27"/>
      <c r="E38" s="27"/>
      <c r="F38" s="27"/>
      <c r="G38" s="28"/>
      <c r="H38" s="29">
        <f t="shared" si="2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153</v>
      </c>
      <c r="F40" s="8">
        <v>160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154</v>
      </c>
      <c r="F41" s="11">
        <v>20</v>
      </c>
      <c r="H41" s="40"/>
    </row>
    <row r="42" spans="1:10" ht="13.95" customHeight="1" thickBot="1" x14ac:dyDescent="0.3">
      <c r="A42" s="124" t="s">
        <v>155</v>
      </c>
      <c r="B42" s="124"/>
      <c r="C42" s="124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156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5" t="s">
        <v>157</v>
      </c>
      <c r="B44" s="125"/>
      <c r="C44" s="125"/>
      <c r="D44" s="16"/>
      <c r="E44" s="17" t="s">
        <v>158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159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160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Key!$K$3:$K$4</xm:f>
          </x14:formula1>
          <xm:sqref>F9:F38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Key!$H$3:$H$79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7"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45839</v>
      </c>
      <c r="B9" s="22" t="s">
        <v>13</v>
      </c>
      <c r="C9" s="27" t="s">
        <v>14</v>
      </c>
      <c r="D9" s="27" t="s">
        <v>204</v>
      </c>
      <c r="E9" s="27" t="s">
        <v>205</v>
      </c>
      <c r="F9" s="27" t="s">
        <v>206</v>
      </c>
      <c r="G9" s="28" t="s">
        <v>207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45840</v>
      </c>
      <c r="B10" s="22" t="s">
        <v>30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45841</v>
      </c>
      <c r="B11" s="22" t="s">
        <v>41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22">
        <v>45842</v>
      </c>
      <c r="B12" s="22" t="s">
        <v>50</v>
      </c>
      <c r="C12" s="27"/>
      <c r="D12" s="27"/>
      <c r="E12" s="27"/>
      <c r="F12" s="27"/>
      <c r="G12" s="28"/>
      <c r="H12" s="29">
        <f t="shared" ref="H12" si="0">J12-I12</f>
        <v>0</v>
      </c>
      <c r="I12" s="30"/>
      <c r="J12" s="30"/>
    </row>
    <row r="13" spans="1:10" x14ac:dyDescent="0.2">
      <c r="A13" s="31">
        <v>45843</v>
      </c>
      <c r="B13" s="31" t="s">
        <v>58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31">
        <v>45844</v>
      </c>
      <c r="B14" s="31" t="s">
        <v>59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45845</v>
      </c>
      <c r="B15" s="22" t="s">
        <v>60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45846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45847</v>
      </c>
      <c r="B17" s="22" t="s">
        <v>30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45848</v>
      </c>
      <c r="B18" s="22" t="s">
        <v>41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45849</v>
      </c>
      <c r="B19" s="22" t="s">
        <v>50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45850</v>
      </c>
      <c r="B20" s="31" t="s">
        <v>58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45851</v>
      </c>
      <c r="B21" s="31" t="s">
        <v>59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45852</v>
      </c>
      <c r="B22" s="22" t="s">
        <v>60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45853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45854</v>
      </c>
      <c r="B24" s="22" t="s">
        <v>30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45855</v>
      </c>
      <c r="B25" s="22" t="s">
        <v>41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45856</v>
      </c>
      <c r="B26" s="22" t="s">
        <v>50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45857</v>
      </c>
      <c r="B27" s="31" t="s">
        <v>58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45858</v>
      </c>
      <c r="B28" s="31" t="s">
        <v>59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45859</v>
      </c>
      <c r="B29" s="22" t="s">
        <v>60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45860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45861</v>
      </c>
      <c r="B31" s="22" t="s">
        <v>30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45862</v>
      </c>
      <c r="B32" s="22" t="s">
        <v>41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45863</v>
      </c>
      <c r="B33" s="22" t="s">
        <v>50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45864</v>
      </c>
      <c r="B34" s="31" t="s">
        <v>58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45865</v>
      </c>
      <c r="B35" s="31" t="s">
        <v>59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45866</v>
      </c>
      <c r="B36" s="22" t="s">
        <v>60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45867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45868</v>
      </c>
      <c r="B38" s="22" t="s">
        <v>30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45869</v>
      </c>
      <c r="B39" s="22" t="s">
        <v>41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153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154</v>
      </c>
      <c r="F42" s="11">
        <v>23</v>
      </c>
      <c r="H42" s="40"/>
    </row>
    <row r="43" spans="1:10" ht="13.95" customHeight="1" thickBot="1" x14ac:dyDescent="0.3">
      <c r="A43" s="124" t="s">
        <v>155</v>
      </c>
      <c r="B43" s="124"/>
      <c r="C43" s="124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156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5" t="s">
        <v>157</v>
      </c>
      <c r="B45" s="125"/>
      <c r="C45" s="125"/>
      <c r="D45" s="16"/>
      <c r="E45" s="17" t="s">
        <v>158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159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160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Key!$K$3:$K$4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C9:C10</xm:sqref>
        </x14:dataValidation>
        <x14:dataValidation type="list" allowBlank="1" showInputMessage="1" showErrorMessage="1" xr:uid="{59DFADC5-E3B8-482B-925E-D0C90DB0047C}">
          <x14:formula1>
            <xm:f>Key!$H$3:$H$81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45870</v>
      </c>
      <c r="B9" s="22" t="s">
        <v>50</v>
      </c>
      <c r="C9" s="27" t="s">
        <v>14</v>
      </c>
      <c r="D9" s="27" t="s">
        <v>204</v>
      </c>
      <c r="E9" s="27" t="s">
        <v>205</v>
      </c>
      <c r="F9" s="27" t="s">
        <v>206</v>
      </c>
      <c r="G9" s="28" t="s">
        <v>207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31">
        <v>45871</v>
      </c>
      <c r="B10" s="31" t="s">
        <v>58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31">
        <v>45872</v>
      </c>
      <c r="B11" s="31" t="s">
        <v>59</v>
      </c>
      <c r="C11" s="32"/>
      <c r="D11" s="32"/>
      <c r="E11" s="32"/>
      <c r="F11" s="32"/>
      <c r="G11" s="33"/>
      <c r="H11" s="34">
        <f t="shared" ref="H11:H36" si="1">J11-I11</f>
        <v>0</v>
      </c>
      <c r="I11" s="35"/>
      <c r="J11" s="35"/>
    </row>
    <row r="12" spans="1:10" x14ac:dyDescent="0.2">
      <c r="A12" s="22">
        <v>45873</v>
      </c>
      <c r="B12" s="22" t="s">
        <v>60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45874</v>
      </c>
      <c r="B13" s="22" t="s">
        <v>13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45875</v>
      </c>
      <c r="B14" s="22" t="s">
        <v>30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45876</v>
      </c>
      <c r="B15" s="22" t="s">
        <v>41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45877</v>
      </c>
      <c r="B16" s="22" t="s">
        <v>50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31">
        <v>45878</v>
      </c>
      <c r="B17" s="31" t="s">
        <v>58</v>
      </c>
      <c r="C17" s="32"/>
      <c r="D17" s="32"/>
      <c r="E17" s="32"/>
      <c r="F17" s="32"/>
      <c r="G17" s="33" t="s">
        <v>209</v>
      </c>
      <c r="H17" s="34">
        <f t="shared" si="1"/>
        <v>0</v>
      </c>
      <c r="I17" s="35"/>
      <c r="J17" s="35"/>
    </row>
    <row r="18" spans="1:10" x14ac:dyDescent="0.2">
      <c r="A18" s="31">
        <v>45879</v>
      </c>
      <c r="B18" s="31" t="s">
        <v>59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22">
        <v>45880</v>
      </c>
      <c r="B19" s="22" t="s">
        <v>60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45881</v>
      </c>
      <c r="B20" s="22" t="s">
        <v>13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45882</v>
      </c>
      <c r="B21" s="22" t="s">
        <v>30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45883</v>
      </c>
      <c r="B22" s="22" t="s">
        <v>41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45884</v>
      </c>
      <c r="B23" s="22" t="s">
        <v>50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31">
        <v>45885</v>
      </c>
      <c r="B24" s="31" t="s">
        <v>58</v>
      </c>
      <c r="C24" s="32"/>
      <c r="D24" s="32"/>
      <c r="E24" s="32"/>
      <c r="F24" s="32"/>
      <c r="G24" s="33"/>
      <c r="H24" s="34">
        <f t="shared" si="1"/>
        <v>0</v>
      </c>
      <c r="I24" s="35"/>
      <c r="J24" s="35"/>
    </row>
    <row r="25" spans="1:10" x14ac:dyDescent="0.2">
      <c r="A25" s="31">
        <v>45886</v>
      </c>
      <c r="B25" s="31" t="s">
        <v>59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22">
        <v>45887</v>
      </c>
      <c r="B26" s="22" t="s">
        <v>60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45888</v>
      </c>
      <c r="B27" s="22" t="s">
        <v>13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45889</v>
      </c>
      <c r="B28" s="22" t="s">
        <v>30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45890</v>
      </c>
      <c r="B29" s="22" t="s">
        <v>41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45891</v>
      </c>
      <c r="B30" s="22" t="s">
        <v>50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31">
        <v>45892</v>
      </c>
      <c r="B31" s="31" t="s">
        <v>58</v>
      </c>
      <c r="C31" s="32"/>
      <c r="D31" s="32"/>
      <c r="E31" s="32"/>
      <c r="F31" s="32"/>
      <c r="G31" s="33"/>
      <c r="H31" s="34">
        <f t="shared" si="1"/>
        <v>0</v>
      </c>
      <c r="I31" s="35"/>
      <c r="J31" s="35"/>
    </row>
    <row r="32" spans="1:10" x14ac:dyDescent="0.2">
      <c r="A32" s="31">
        <v>45893</v>
      </c>
      <c r="B32" s="31" t="s">
        <v>59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22">
        <v>45894</v>
      </c>
      <c r="B33" s="22" t="s">
        <v>60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45895</v>
      </c>
      <c r="B34" s="22" t="s">
        <v>13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45896</v>
      </c>
      <c r="B35" s="22" t="s">
        <v>30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45897</v>
      </c>
      <c r="B36" s="22" t="s">
        <v>41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45898</v>
      </c>
      <c r="B37" s="22" t="s">
        <v>50</v>
      </c>
      <c r="C37" s="27"/>
      <c r="D37" s="27"/>
      <c r="E37" s="27"/>
      <c r="F37" s="27"/>
      <c r="G37" s="28"/>
      <c r="H37" s="29">
        <f t="shared" ref="H37:H39" si="2">J37-I37</f>
        <v>0</v>
      </c>
      <c r="I37" s="30"/>
      <c r="J37" s="30"/>
    </row>
    <row r="38" spans="1:10" x14ac:dyDescent="0.2">
      <c r="A38" s="31">
        <v>45899</v>
      </c>
      <c r="B38" s="31" t="s">
        <v>58</v>
      </c>
      <c r="C38" s="32"/>
      <c r="D38" s="32"/>
      <c r="E38" s="32"/>
      <c r="F38" s="32"/>
      <c r="G38" s="33"/>
      <c r="H38" s="34">
        <f t="shared" si="2"/>
        <v>0</v>
      </c>
      <c r="I38" s="35"/>
      <c r="J38" s="35"/>
    </row>
    <row r="39" spans="1:10" ht="13.95" customHeight="1" x14ac:dyDescent="0.2">
      <c r="A39" s="31">
        <v>45900</v>
      </c>
      <c r="B39" s="31" t="s">
        <v>59</v>
      </c>
      <c r="C39" s="32"/>
      <c r="D39" s="32"/>
      <c r="E39" s="32"/>
      <c r="F39" s="32"/>
      <c r="G39" s="33"/>
      <c r="H39" s="34">
        <f t="shared" si="2"/>
        <v>0</v>
      </c>
      <c r="I39" s="35"/>
      <c r="J39" s="35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153</v>
      </c>
      <c r="F41" s="8">
        <v>168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154</v>
      </c>
      <c r="F42" s="11">
        <v>21</v>
      </c>
      <c r="H42" s="40"/>
    </row>
    <row r="43" spans="1:10" ht="13.95" customHeight="1" thickBot="1" x14ac:dyDescent="0.3">
      <c r="A43" s="124" t="s">
        <v>155</v>
      </c>
      <c r="B43" s="124"/>
      <c r="C43" s="124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156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5" t="s">
        <v>157</v>
      </c>
      <c r="B45" s="125"/>
      <c r="C45" s="125"/>
      <c r="D45" s="16"/>
      <c r="E45" s="17" t="s">
        <v>158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159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160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Key!$K$3:$K$4</xm:f>
          </x14:formula1>
          <xm:sqref>F9:F39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Key!$H$3:$H$80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45901</v>
      </c>
      <c r="B9" s="22" t="s">
        <v>60</v>
      </c>
      <c r="C9" s="27" t="s">
        <v>14</v>
      </c>
      <c r="D9" s="27" t="s">
        <v>204</v>
      </c>
      <c r="E9" s="27" t="s">
        <v>205</v>
      </c>
      <c r="F9" s="27" t="s">
        <v>206</v>
      </c>
      <c r="G9" s="28" t="s">
        <v>207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45902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45903</v>
      </c>
      <c r="B11" s="22" t="s">
        <v>30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45904</v>
      </c>
      <c r="B12" s="22" t="s">
        <v>41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45905</v>
      </c>
      <c r="B13" s="22" t="s">
        <v>50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45906</v>
      </c>
      <c r="B14" s="31" t="s">
        <v>58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45907</v>
      </c>
      <c r="B15" s="31" t="s">
        <v>59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45908</v>
      </c>
      <c r="B16" s="22" t="s">
        <v>60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45909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45910</v>
      </c>
      <c r="B18" s="22" t="s">
        <v>30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45911</v>
      </c>
      <c r="B19" s="22" t="s">
        <v>41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45912</v>
      </c>
      <c r="B20" s="22" t="s">
        <v>50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45913</v>
      </c>
      <c r="B21" s="31" t="s">
        <v>58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45914</v>
      </c>
      <c r="B22" s="31" t="s">
        <v>59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45915</v>
      </c>
      <c r="B23" s="22" t="s">
        <v>60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45916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45917</v>
      </c>
      <c r="B25" s="22" t="s">
        <v>30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45918</v>
      </c>
      <c r="B26" s="22" t="s">
        <v>41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45919</v>
      </c>
      <c r="B27" s="22" t="s">
        <v>50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45920</v>
      </c>
      <c r="B28" s="31" t="s">
        <v>58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45921</v>
      </c>
      <c r="B29" s="31" t="s">
        <v>59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45922</v>
      </c>
      <c r="B30" s="22" t="s">
        <v>60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45923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45924</v>
      </c>
      <c r="B32" s="47" t="s">
        <v>30</v>
      </c>
      <c r="C32" s="48" t="s">
        <v>14</v>
      </c>
      <c r="D32" s="48"/>
      <c r="E32" s="48" t="s">
        <v>121</v>
      </c>
      <c r="F32" s="48" t="s">
        <v>17</v>
      </c>
      <c r="G32" s="49" t="s">
        <v>210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45925</v>
      </c>
      <c r="B33" s="22" t="s">
        <v>41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45926</v>
      </c>
      <c r="B34" s="22" t="s">
        <v>50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45927</v>
      </c>
      <c r="B35" s="31" t="s">
        <v>58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45928</v>
      </c>
      <c r="B36" s="31" t="s">
        <v>59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x14ac:dyDescent="0.2">
      <c r="A37" s="22">
        <v>45929</v>
      </c>
      <c r="B37" s="22" t="s">
        <v>60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45930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153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154</v>
      </c>
      <c r="F41" s="11">
        <v>21</v>
      </c>
      <c r="H41" s="40"/>
    </row>
    <row r="42" spans="1:10" ht="13.95" customHeight="1" thickBot="1" x14ac:dyDescent="0.3">
      <c r="A42" s="124" t="s">
        <v>155</v>
      </c>
      <c r="B42" s="124"/>
      <c r="C42" s="124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156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5" t="s">
        <v>157</v>
      </c>
      <c r="B44" s="125"/>
      <c r="C44" s="125"/>
      <c r="D44" s="16"/>
      <c r="E44" s="17" t="s">
        <v>158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159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160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39A6A8E-1249-4B2F-AB25-70B85A400C15}">
          <x14:formula1>
            <xm:f>Key!$K$3:$K$4</xm:f>
          </x14:formula1>
          <xm:sqref>F9:F38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E9:E38</xm:sqref>
        </x14:dataValidation>
        <x14:dataValidation type="list" allowBlank="1" showInputMessage="1" showErrorMessage="1" xr:uid="{5693F761-715B-45CE-AC76-906C43DF08FA}">
          <x14:formula1>
            <xm:f>Key!$H$3:$H$76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1"/>
      <c r="B1" s="81"/>
      <c r="C1" s="81"/>
      <c r="D1" s="81"/>
      <c r="E1" s="81"/>
      <c r="F1" s="81"/>
    </row>
    <row r="2" spans="1:15" x14ac:dyDescent="0.2">
      <c r="A2" s="80"/>
      <c r="B2" s="80"/>
      <c r="C2" s="85"/>
      <c r="D2" s="85"/>
      <c r="E2" s="85"/>
      <c r="F2" s="85"/>
    </row>
    <row r="3" spans="1:15" x14ac:dyDescent="0.2">
      <c r="A3" s="80"/>
      <c r="B3" s="80"/>
      <c r="C3" s="86"/>
      <c r="D3" s="86"/>
      <c r="E3" s="86"/>
      <c r="F3" s="86"/>
    </row>
    <row r="4" spans="1:15" x14ac:dyDescent="0.2">
      <c r="A4" s="80"/>
      <c r="B4" s="80"/>
      <c r="C4" s="87"/>
      <c r="D4" s="87"/>
      <c r="E4" s="87"/>
      <c r="F4" s="87"/>
    </row>
    <row r="5" spans="1:15" x14ac:dyDescent="0.2">
      <c r="A5" s="37" t="s">
        <v>0</v>
      </c>
      <c r="B5" s="23" t="s">
        <v>204</v>
      </c>
      <c r="C5" s="87"/>
      <c r="D5" s="87"/>
      <c r="E5" s="87"/>
      <c r="F5" s="87"/>
    </row>
    <row r="6" spans="1:15" x14ac:dyDescent="0.2">
      <c r="A6" s="80" t="s">
        <v>211</v>
      </c>
      <c r="B6" s="82">
        <f>F17</f>
        <v>200</v>
      </c>
      <c r="C6" s="85"/>
      <c r="D6" s="86"/>
      <c r="E6" s="86"/>
      <c r="F6" s="86"/>
    </row>
    <row r="7" spans="1:15" ht="13.5" customHeight="1" x14ac:dyDescent="0.2">
      <c r="A7" s="74"/>
      <c r="B7" s="75"/>
      <c r="C7" s="75"/>
      <c r="D7" s="86"/>
      <c r="E7" s="86"/>
      <c r="F7" s="86"/>
    </row>
    <row r="8" spans="1:15" ht="27.45" customHeight="1" x14ac:dyDescent="0.2">
      <c r="A8" s="131" t="s">
        <v>212</v>
      </c>
      <c r="B8" s="131"/>
      <c r="C8" s="131"/>
      <c r="D8" s="131"/>
      <c r="E8" s="131"/>
      <c r="F8" s="131"/>
    </row>
    <row r="9" spans="1:15" ht="13.5" customHeight="1" thickBot="1" x14ac:dyDescent="0.25">
      <c r="A9" s="83" t="s">
        <v>213</v>
      </c>
      <c r="B9" s="128" t="s">
        <v>214</v>
      </c>
      <c r="C9" s="129"/>
      <c r="D9" s="128" t="s">
        <v>215</v>
      </c>
      <c r="E9" s="129"/>
      <c r="F9" s="84" t="s">
        <v>216</v>
      </c>
    </row>
    <row r="10" spans="1:15" x14ac:dyDescent="0.2">
      <c r="A10" s="79">
        <v>45566</v>
      </c>
      <c r="B10" s="130" t="s">
        <v>217</v>
      </c>
      <c r="C10" s="130"/>
      <c r="D10" s="130" t="s">
        <v>218</v>
      </c>
      <c r="E10" s="130"/>
      <c r="F10" s="78">
        <v>200</v>
      </c>
      <c r="G10" s="126" t="s">
        <v>219</v>
      </c>
      <c r="H10" s="127"/>
      <c r="I10" s="127"/>
      <c r="J10" s="127"/>
      <c r="K10" s="127"/>
      <c r="L10" s="127"/>
      <c r="M10" s="127"/>
      <c r="N10" s="127"/>
      <c r="O10" s="127"/>
    </row>
    <row r="11" spans="1:15" x14ac:dyDescent="0.2">
      <c r="A11" s="79">
        <v>45566</v>
      </c>
      <c r="B11" s="132" t="s">
        <v>220</v>
      </c>
      <c r="C11" s="133"/>
      <c r="D11" s="130" t="s">
        <v>221</v>
      </c>
      <c r="E11" s="130"/>
      <c r="F11" s="78"/>
    </row>
    <row r="12" spans="1:15" x14ac:dyDescent="0.2">
      <c r="A12" s="79">
        <v>45566</v>
      </c>
      <c r="B12" s="132" t="s">
        <v>222</v>
      </c>
      <c r="C12" s="133"/>
      <c r="D12" s="130"/>
      <c r="E12" s="130"/>
      <c r="F12" s="78"/>
    </row>
    <row r="13" spans="1:15" x14ac:dyDescent="0.2">
      <c r="A13" s="79">
        <v>45566</v>
      </c>
      <c r="B13" s="132"/>
      <c r="C13" s="133"/>
      <c r="D13" s="130"/>
      <c r="E13" s="130"/>
      <c r="F13" s="78"/>
    </row>
    <row r="14" spans="1:15" x14ac:dyDescent="0.2">
      <c r="A14" s="79">
        <v>45566</v>
      </c>
      <c r="B14" s="132"/>
      <c r="C14" s="133"/>
      <c r="D14" s="130"/>
      <c r="E14" s="130"/>
      <c r="F14" s="78"/>
    </row>
    <row r="15" spans="1:15" x14ac:dyDescent="0.2">
      <c r="A15" s="79">
        <v>45566</v>
      </c>
      <c r="B15" s="137"/>
      <c r="C15" s="138"/>
      <c r="D15" s="130"/>
      <c r="E15" s="130"/>
      <c r="F15" s="78"/>
    </row>
    <row r="16" spans="1:15" ht="13.2" thickBot="1" x14ac:dyDescent="0.25">
      <c r="A16" s="79">
        <v>45566</v>
      </c>
      <c r="B16" s="132"/>
      <c r="C16" s="133"/>
      <c r="D16" s="130"/>
      <c r="E16" s="130"/>
      <c r="F16" s="78"/>
    </row>
    <row r="17" spans="1:6" ht="13.5" customHeight="1" thickBot="1" x14ac:dyDescent="0.25">
      <c r="A17" s="134" t="s">
        <v>223</v>
      </c>
      <c r="B17" s="135"/>
      <c r="C17" s="135"/>
      <c r="D17" s="135"/>
      <c r="E17" s="136"/>
      <c r="F17" s="77">
        <f>SUM(F10:F16)</f>
        <v>200</v>
      </c>
    </row>
    <row r="18" spans="1:6" x14ac:dyDescent="0.2">
      <c r="A18" s="74"/>
      <c r="B18" s="75"/>
      <c r="C18" s="75"/>
      <c r="D18" s="75"/>
      <c r="E18" s="76"/>
      <c r="F18" s="76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Key!$H$3:$H$82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E12" sqref="E12"/>
    </sheetView>
  </sheetViews>
  <sheetFormatPr defaultColWidth="8.69921875" defaultRowHeight="12.6" x14ac:dyDescent="0.2"/>
  <cols>
    <col min="1" max="1" width="15.5" style="23" bestFit="1" customWidth="1"/>
    <col min="2" max="2" width="11.69921875" style="23" customWidth="1"/>
    <col min="3" max="3" width="9.69921875" style="23" customWidth="1"/>
    <col min="4" max="16384" width="8.69921875" style="23"/>
  </cols>
  <sheetData>
    <row r="4" spans="1:6" x14ac:dyDescent="0.2">
      <c r="A4" s="139"/>
      <c r="B4" s="139"/>
    </row>
    <row r="5" spans="1:6" x14ac:dyDescent="0.2">
      <c r="A5" s="37" t="s">
        <v>0</v>
      </c>
      <c r="B5" s="23" t="s">
        <v>204</v>
      </c>
    </row>
    <row r="6" spans="1:6" x14ac:dyDescent="0.2">
      <c r="A6" s="80" t="s">
        <v>224</v>
      </c>
      <c r="B6" s="80"/>
    </row>
    <row r="7" spans="1:6" x14ac:dyDescent="0.2">
      <c r="A7" s="96" t="s">
        <v>225</v>
      </c>
      <c r="B7" s="96"/>
    </row>
    <row r="8" spans="1:6" x14ac:dyDescent="0.2">
      <c r="A8" s="97"/>
      <c r="B8" s="86"/>
    </row>
    <row r="9" spans="1:6" ht="27.45" customHeight="1" x14ac:dyDescent="0.2">
      <c r="A9" s="152" t="s">
        <v>226</v>
      </c>
      <c r="B9" s="152"/>
      <c r="C9" s="152"/>
      <c r="D9" s="152"/>
      <c r="E9" s="152"/>
      <c r="F9" s="152"/>
    </row>
    <row r="10" spans="1:6" ht="25.2" x14ac:dyDescent="0.2">
      <c r="A10" s="88" t="s">
        <v>227</v>
      </c>
      <c r="B10" s="88" t="s">
        <v>228</v>
      </c>
      <c r="C10" s="88" t="s">
        <v>229</v>
      </c>
      <c r="D10" s="88" t="s">
        <v>230</v>
      </c>
      <c r="E10" s="88" t="s">
        <v>231</v>
      </c>
      <c r="F10" s="88" t="s">
        <v>232</v>
      </c>
    </row>
    <row r="11" spans="1:6" x14ac:dyDescent="0.2">
      <c r="A11" s="88"/>
      <c r="B11" s="88"/>
      <c r="C11" s="88"/>
      <c r="D11" s="88"/>
      <c r="E11" s="88"/>
      <c r="F11" s="88"/>
    </row>
    <row r="12" spans="1:6" x14ac:dyDescent="0.2">
      <c r="A12" s="88"/>
      <c r="B12" s="88"/>
      <c r="C12" s="88"/>
      <c r="D12" s="88"/>
      <c r="E12" s="88"/>
      <c r="F12" s="88"/>
    </row>
    <row r="13" spans="1:6" ht="13.2" thickBot="1" x14ac:dyDescent="0.25">
      <c r="A13" s="88"/>
      <c r="B13" s="88"/>
      <c r="C13" s="88"/>
      <c r="D13" s="88"/>
      <c r="E13" s="88"/>
      <c r="F13" s="88"/>
    </row>
    <row r="14" spans="1:6" ht="13.2" thickBot="1" x14ac:dyDescent="0.25">
      <c r="A14" s="89"/>
      <c r="B14" s="90"/>
      <c r="C14" s="90"/>
      <c r="D14" s="91">
        <f>SUM(D11:D13)</f>
        <v>0</v>
      </c>
      <c r="E14" s="90"/>
      <c r="F14" s="92"/>
    </row>
    <row r="15" spans="1:6" ht="13.2" thickBot="1" x14ac:dyDescent="0.25">
      <c r="A15" s="143"/>
      <c r="B15" s="144"/>
      <c r="C15" s="144"/>
      <c r="D15" s="144"/>
      <c r="E15" s="144"/>
      <c r="F15" s="144"/>
    </row>
    <row r="16" spans="1:6" x14ac:dyDescent="0.2">
      <c r="A16" s="153" t="s">
        <v>233</v>
      </c>
      <c r="B16" s="154"/>
      <c r="C16" s="154"/>
      <c r="D16" s="154"/>
      <c r="E16" s="154"/>
      <c r="F16" s="155"/>
    </row>
    <row r="17" spans="1:6" x14ac:dyDescent="0.2">
      <c r="A17" s="140"/>
      <c r="B17" s="141"/>
      <c r="C17" s="141"/>
      <c r="D17" s="141"/>
      <c r="E17" s="141"/>
      <c r="F17" s="142"/>
    </row>
    <row r="18" spans="1:6" x14ac:dyDescent="0.2">
      <c r="A18" s="140"/>
      <c r="B18" s="141"/>
      <c r="C18" s="141"/>
      <c r="D18" s="141"/>
      <c r="E18" s="141"/>
      <c r="F18" s="142"/>
    </row>
    <row r="19" spans="1:6" ht="13.2" thickBot="1" x14ac:dyDescent="0.25">
      <c r="A19" s="143"/>
      <c r="B19" s="144"/>
      <c r="C19" s="144"/>
      <c r="D19" s="144"/>
      <c r="E19" s="144"/>
      <c r="F19" s="145"/>
    </row>
    <row r="20" spans="1:6" ht="13.2" thickBot="1" x14ac:dyDescent="0.25"/>
    <row r="21" spans="1:6" x14ac:dyDescent="0.2">
      <c r="A21" s="93" t="s">
        <v>3</v>
      </c>
      <c r="B21" s="146"/>
      <c r="C21" s="146"/>
      <c r="D21" s="146"/>
      <c r="E21" s="146"/>
      <c r="F21" s="147"/>
    </row>
    <row r="22" spans="1:6" x14ac:dyDescent="0.2">
      <c r="A22" s="94" t="s">
        <v>234</v>
      </c>
      <c r="B22" s="148"/>
      <c r="C22" s="148"/>
      <c r="D22" s="148"/>
      <c r="E22" s="148"/>
      <c r="F22" s="149"/>
    </row>
    <row r="23" spans="1:6" ht="13.2" thickBot="1" x14ac:dyDescent="0.25">
      <c r="A23" s="95" t="s">
        <v>235</v>
      </c>
      <c r="B23" s="150"/>
      <c r="C23" s="150"/>
      <c r="D23" s="150"/>
      <c r="E23" s="150"/>
      <c r="F23" s="151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K73"/>
  <sheetViews>
    <sheetView topLeftCell="A30" workbookViewId="0">
      <selection activeCell="H46" sqref="H46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1" ht="15" thickBot="1" x14ac:dyDescent="0.35">
      <c r="B2" s="67" t="s">
        <v>14</v>
      </c>
      <c r="D2" s="53" t="s">
        <v>236</v>
      </c>
      <c r="F2" s="52" t="s">
        <v>7</v>
      </c>
      <c r="H2" s="52" t="s">
        <v>237</v>
      </c>
      <c r="K2" s="53" t="s">
        <v>206</v>
      </c>
    </row>
    <row r="3" spans="2:11" x14ac:dyDescent="0.3">
      <c r="B3" s="67" t="s">
        <v>238</v>
      </c>
      <c r="D3" s="72" t="s">
        <v>239</v>
      </c>
      <c r="F3" s="55" t="s">
        <v>205</v>
      </c>
      <c r="H3" s="100" t="s">
        <v>240</v>
      </c>
      <c r="K3" s="56" t="s">
        <v>17</v>
      </c>
    </row>
    <row r="4" spans="2:11" x14ac:dyDescent="0.3">
      <c r="B4" s="67" t="s">
        <v>241</v>
      </c>
      <c r="D4" s="54" t="s">
        <v>242</v>
      </c>
      <c r="F4" s="57" t="s">
        <v>243</v>
      </c>
      <c r="H4" s="69" t="s">
        <v>244</v>
      </c>
      <c r="K4" s="58" t="s">
        <v>206</v>
      </c>
    </row>
    <row r="5" spans="2:11" x14ac:dyDescent="0.3">
      <c r="B5" s="67" t="s">
        <v>245</v>
      </c>
      <c r="D5" s="72" t="s">
        <v>246</v>
      </c>
      <c r="F5" s="59" t="s">
        <v>247</v>
      </c>
      <c r="H5" s="101" t="s">
        <v>248</v>
      </c>
    </row>
    <row r="6" spans="2:11" x14ac:dyDescent="0.3">
      <c r="B6" s="67" t="s">
        <v>249</v>
      </c>
      <c r="D6" s="54" t="s">
        <v>250</v>
      </c>
      <c r="F6" s="57" t="s">
        <v>251</v>
      </c>
      <c r="H6" s="102" t="s">
        <v>252</v>
      </c>
    </row>
    <row r="7" spans="2:11" x14ac:dyDescent="0.3">
      <c r="B7" s="67" t="s">
        <v>253</v>
      </c>
      <c r="D7" s="72" t="s">
        <v>254</v>
      </c>
      <c r="F7" s="59" t="s">
        <v>19</v>
      </c>
      <c r="H7" s="69" t="s">
        <v>255</v>
      </c>
    </row>
    <row r="8" spans="2:11" x14ac:dyDescent="0.3">
      <c r="B8" s="67" t="s">
        <v>256</v>
      </c>
      <c r="D8" s="54" t="s">
        <v>257</v>
      </c>
      <c r="F8" s="57" t="s">
        <v>258</v>
      </c>
      <c r="H8" s="100" t="s">
        <v>259</v>
      </c>
      <c r="K8" s="52" t="s">
        <v>260</v>
      </c>
    </row>
    <row r="9" spans="2:11" x14ac:dyDescent="0.3">
      <c r="B9" s="67" t="s">
        <v>261</v>
      </c>
      <c r="D9" s="72" t="s">
        <v>262</v>
      </c>
      <c r="F9" s="59" t="s">
        <v>263</v>
      </c>
      <c r="H9" s="68" t="s">
        <v>264</v>
      </c>
      <c r="K9" s="52" t="s">
        <v>218</v>
      </c>
    </row>
    <row r="10" spans="2:11" x14ac:dyDescent="0.3">
      <c r="B10" s="67" t="s">
        <v>265</v>
      </c>
      <c r="D10" s="54" t="s">
        <v>266</v>
      </c>
      <c r="F10" s="57" t="s">
        <v>267</v>
      </c>
      <c r="H10" s="103" t="s">
        <v>268</v>
      </c>
    </row>
    <row r="11" spans="2:11" x14ac:dyDescent="0.3">
      <c r="B11" s="67" t="s">
        <v>269</v>
      </c>
      <c r="D11" s="72" t="s">
        <v>270</v>
      </c>
      <c r="F11" s="59" t="s">
        <v>271</v>
      </c>
      <c r="H11" s="69" t="s">
        <v>272</v>
      </c>
      <c r="K11" s="52" t="s">
        <v>273</v>
      </c>
    </row>
    <row r="12" spans="2:11" x14ac:dyDescent="0.3">
      <c r="B12" s="67" t="s">
        <v>274</v>
      </c>
      <c r="F12" s="57" t="s">
        <v>275</v>
      </c>
      <c r="H12" s="104" t="s">
        <v>276</v>
      </c>
      <c r="K12" s="52" t="s">
        <v>277</v>
      </c>
    </row>
    <row r="13" spans="2:11" x14ac:dyDescent="0.3">
      <c r="B13" s="67" t="s">
        <v>278</v>
      </c>
      <c r="F13" s="59" t="s">
        <v>279</v>
      </c>
      <c r="H13" s="104" t="s">
        <v>280</v>
      </c>
    </row>
    <row r="14" spans="2:11" x14ac:dyDescent="0.3">
      <c r="B14" s="67" t="s">
        <v>281</v>
      </c>
      <c r="D14" s="60"/>
      <c r="F14" s="57" t="s">
        <v>282</v>
      </c>
      <c r="H14" s="105" t="s">
        <v>283</v>
      </c>
    </row>
    <row r="15" spans="2:11" x14ac:dyDescent="0.3">
      <c r="B15" s="67" t="s">
        <v>284</v>
      </c>
      <c r="D15" s="61"/>
      <c r="F15" s="59" t="s">
        <v>285</v>
      </c>
      <c r="H15" s="104" t="s">
        <v>286</v>
      </c>
    </row>
    <row r="16" spans="2:11" x14ac:dyDescent="0.3">
      <c r="B16" s="67" t="s">
        <v>287</v>
      </c>
      <c r="D16" s="61"/>
      <c r="F16" s="57" t="s">
        <v>288</v>
      </c>
      <c r="H16" s="106" t="s">
        <v>289</v>
      </c>
    </row>
    <row r="17" spans="2:8" ht="27.6" x14ac:dyDescent="0.3">
      <c r="B17" s="67" t="s">
        <v>290</v>
      </c>
      <c r="D17" s="61"/>
      <c r="F17" s="59" t="s">
        <v>291</v>
      </c>
      <c r="H17" s="104" t="s">
        <v>292</v>
      </c>
    </row>
    <row r="18" spans="2:8" x14ac:dyDescent="0.3">
      <c r="B18" s="67" t="s">
        <v>293</v>
      </c>
      <c r="D18" s="61"/>
      <c r="F18" s="57" t="s">
        <v>294</v>
      </c>
      <c r="H18" s="106" t="s">
        <v>295</v>
      </c>
    </row>
    <row r="19" spans="2:8" x14ac:dyDescent="0.3">
      <c r="B19" s="67" t="s">
        <v>296</v>
      </c>
      <c r="D19" s="61"/>
      <c r="F19" s="59" t="s">
        <v>16</v>
      </c>
      <c r="H19" s="107" t="s">
        <v>297</v>
      </c>
    </row>
    <row r="20" spans="2:8" x14ac:dyDescent="0.3">
      <c r="B20" s="67" t="s">
        <v>298</v>
      </c>
      <c r="D20" s="61"/>
      <c r="F20" s="57" t="s">
        <v>25</v>
      </c>
      <c r="H20" s="105" t="s">
        <v>299</v>
      </c>
    </row>
    <row r="21" spans="2:8" x14ac:dyDescent="0.3">
      <c r="B21" s="67" t="s">
        <v>300</v>
      </c>
      <c r="D21" s="61"/>
      <c r="F21" s="59" t="s">
        <v>301</v>
      </c>
      <c r="H21" s="69" t="s">
        <v>302</v>
      </c>
    </row>
    <row r="22" spans="2:8" x14ac:dyDescent="0.3">
      <c r="B22" s="67" t="s">
        <v>303</v>
      </c>
      <c r="D22" s="61"/>
      <c r="F22" s="57" t="s">
        <v>133</v>
      </c>
      <c r="H22" s="108" t="s">
        <v>304</v>
      </c>
    </row>
    <row r="23" spans="2:8" x14ac:dyDescent="0.3">
      <c r="B23" s="67" t="s">
        <v>305</v>
      </c>
      <c r="D23" s="61"/>
      <c r="F23" s="59" t="s">
        <v>306</v>
      </c>
      <c r="H23" s="109" t="s">
        <v>307</v>
      </c>
    </row>
    <row r="24" spans="2:8" x14ac:dyDescent="0.3">
      <c r="B24" s="67" t="s">
        <v>308</v>
      </c>
      <c r="D24" s="61"/>
      <c r="F24" s="57" t="s">
        <v>36</v>
      </c>
      <c r="H24" s="110" t="s">
        <v>309</v>
      </c>
    </row>
    <row r="25" spans="2:8" x14ac:dyDescent="0.3">
      <c r="B25" s="67" t="s">
        <v>310</v>
      </c>
      <c r="D25" s="61"/>
      <c r="F25" s="59" t="s">
        <v>311</v>
      </c>
      <c r="H25" s="111" t="s">
        <v>204</v>
      </c>
    </row>
    <row r="26" spans="2:8" x14ac:dyDescent="0.3">
      <c r="B26" s="67" t="s">
        <v>312</v>
      </c>
      <c r="F26" s="57" t="s">
        <v>313</v>
      </c>
      <c r="H26" s="71" t="s">
        <v>314</v>
      </c>
    </row>
    <row r="27" spans="2:8" x14ac:dyDescent="0.3">
      <c r="B27" s="67" t="s">
        <v>315</v>
      </c>
      <c r="D27" s="61"/>
      <c r="F27" s="59" t="s">
        <v>45</v>
      </c>
      <c r="H27" s="109" t="s">
        <v>316</v>
      </c>
    </row>
    <row r="28" spans="2:8" x14ac:dyDescent="0.3">
      <c r="B28" s="67" t="s">
        <v>317</v>
      </c>
      <c r="D28" s="61"/>
      <c r="F28" s="57" t="s">
        <v>318</v>
      </c>
      <c r="H28" s="71" t="s">
        <v>319</v>
      </c>
    </row>
    <row r="29" spans="2:8" x14ac:dyDescent="0.3">
      <c r="B29" s="67" t="s">
        <v>320</v>
      </c>
      <c r="F29" s="59" t="s">
        <v>115</v>
      </c>
      <c r="H29" s="112" t="s">
        <v>321</v>
      </c>
    </row>
    <row r="30" spans="2:8" x14ac:dyDescent="0.3">
      <c r="B30" s="67" t="s">
        <v>322</v>
      </c>
      <c r="F30" s="57" t="s">
        <v>323</v>
      </c>
      <c r="H30" s="110" t="s">
        <v>324</v>
      </c>
    </row>
    <row r="31" spans="2:8" x14ac:dyDescent="0.3">
      <c r="B31" s="67" t="s">
        <v>325</v>
      </c>
      <c r="F31" s="59" t="s">
        <v>326</v>
      </c>
      <c r="H31" s="111" t="s">
        <v>327</v>
      </c>
    </row>
    <row r="32" spans="2:8" x14ac:dyDescent="0.3">
      <c r="B32" s="67" t="s">
        <v>328</v>
      </c>
      <c r="F32" s="57" t="s">
        <v>329</v>
      </c>
      <c r="H32" s="70" t="s">
        <v>330</v>
      </c>
    </row>
    <row r="33" spans="2:8" x14ac:dyDescent="0.3">
      <c r="B33" s="67" t="s">
        <v>331</v>
      </c>
      <c r="F33" s="59" t="s">
        <v>332</v>
      </c>
      <c r="H33" s="70" t="s">
        <v>333</v>
      </c>
    </row>
    <row r="34" spans="2:8" x14ac:dyDescent="0.3">
      <c r="B34" s="67" t="s">
        <v>334</v>
      </c>
      <c r="F34" s="57" t="s">
        <v>335</v>
      </c>
      <c r="H34" s="113" t="s">
        <v>336</v>
      </c>
    </row>
    <row r="35" spans="2:8" x14ac:dyDescent="0.3">
      <c r="B35" s="67" t="s">
        <v>337</v>
      </c>
      <c r="F35" s="59" t="s">
        <v>338</v>
      </c>
      <c r="H35" s="112" t="s">
        <v>339</v>
      </c>
    </row>
    <row r="36" spans="2:8" x14ac:dyDescent="0.3">
      <c r="B36" s="67" t="s">
        <v>340</v>
      </c>
      <c r="F36" s="57" t="s">
        <v>341</v>
      </c>
      <c r="H36" s="103" t="s">
        <v>342</v>
      </c>
    </row>
    <row r="37" spans="2:8" x14ac:dyDescent="0.3">
      <c r="B37" s="67" t="s">
        <v>343</v>
      </c>
      <c r="F37" s="57" t="s">
        <v>344</v>
      </c>
      <c r="H37" s="70" t="s">
        <v>345</v>
      </c>
    </row>
    <row r="38" spans="2:8" x14ac:dyDescent="0.3">
      <c r="B38" s="67" t="s">
        <v>346</v>
      </c>
      <c r="F38" s="57" t="s">
        <v>121</v>
      </c>
      <c r="H38" s="110" t="s">
        <v>347</v>
      </c>
    </row>
    <row r="39" spans="2:8" x14ac:dyDescent="0.3">
      <c r="B39" s="67" t="s">
        <v>348</v>
      </c>
      <c r="F39" s="57" t="s">
        <v>349</v>
      </c>
      <c r="H39" s="112" t="s">
        <v>350</v>
      </c>
    </row>
    <row r="40" spans="2:8" x14ac:dyDescent="0.3">
      <c r="B40" s="67" t="s">
        <v>351</v>
      </c>
      <c r="H40" s="113" t="s">
        <v>352</v>
      </c>
    </row>
    <row r="41" spans="2:8" x14ac:dyDescent="0.3">
      <c r="B41" s="64"/>
      <c r="D41" s="65"/>
      <c r="H41" s="71" t="s">
        <v>353</v>
      </c>
    </row>
    <row r="42" spans="2:8" x14ac:dyDescent="0.3">
      <c r="B42" s="62"/>
      <c r="H42" s="110" t="s">
        <v>354</v>
      </c>
    </row>
    <row r="43" spans="2:8" x14ac:dyDescent="0.3">
      <c r="H43" s="112" t="s">
        <v>355</v>
      </c>
    </row>
    <row r="44" spans="2:8" ht="27.6" x14ac:dyDescent="0.3">
      <c r="B44" s="63"/>
      <c r="H44" s="110" t="s">
        <v>356</v>
      </c>
    </row>
    <row r="45" spans="2:8" x14ac:dyDescent="0.3">
      <c r="H45" s="70" t="s">
        <v>357</v>
      </c>
    </row>
    <row r="46" spans="2:8" x14ac:dyDescent="0.3">
      <c r="H46" s="114" t="s">
        <v>1</v>
      </c>
    </row>
    <row r="47" spans="2:8" x14ac:dyDescent="0.3">
      <c r="B47" s="63"/>
      <c r="H47" s="113" t="s">
        <v>358</v>
      </c>
    </row>
    <row r="48" spans="2:8" x14ac:dyDescent="0.3">
      <c r="H48" s="115" t="s">
        <v>359</v>
      </c>
    </row>
    <row r="49" spans="8:8" x14ac:dyDescent="0.3">
      <c r="H49" s="101" t="s">
        <v>360</v>
      </c>
    </row>
    <row r="50" spans="8:8" x14ac:dyDescent="0.3">
      <c r="H50" s="108" t="s">
        <v>361</v>
      </c>
    </row>
    <row r="51" spans="8:8" x14ac:dyDescent="0.3">
      <c r="H51" s="112" t="s">
        <v>362</v>
      </c>
    </row>
    <row r="52" spans="8:8" x14ac:dyDescent="0.3">
      <c r="H52" s="71" t="s">
        <v>363</v>
      </c>
    </row>
    <row r="53" spans="8:8" x14ac:dyDescent="0.3">
      <c r="H53" s="113" t="s">
        <v>364</v>
      </c>
    </row>
    <row r="54" spans="8:8" x14ac:dyDescent="0.3">
      <c r="H54" s="71" t="s">
        <v>365</v>
      </c>
    </row>
    <row r="55" spans="8:8" x14ac:dyDescent="0.3">
      <c r="H55" s="113" t="s">
        <v>366</v>
      </c>
    </row>
    <row r="56" spans="8:8" x14ac:dyDescent="0.3">
      <c r="H56" s="71" t="s">
        <v>367</v>
      </c>
    </row>
    <row r="57" spans="8:8" x14ac:dyDescent="0.3">
      <c r="H57" s="113" t="s">
        <v>368</v>
      </c>
    </row>
    <row r="58" spans="8:8" x14ac:dyDescent="0.3">
      <c r="H58" s="70" t="s">
        <v>369</v>
      </c>
    </row>
    <row r="59" spans="8:8" x14ac:dyDescent="0.3">
      <c r="H59" s="113" t="s">
        <v>370</v>
      </c>
    </row>
    <row r="60" spans="8:8" x14ac:dyDescent="0.3">
      <c r="H60" s="70" t="s">
        <v>371</v>
      </c>
    </row>
    <row r="61" spans="8:8" x14ac:dyDescent="0.3">
      <c r="H61" s="116" t="s">
        <v>372</v>
      </c>
    </row>
    <row r="62" spans="8:8" x14ac:dyDescent="0.3">
      <c r="H62" s="110" t="s">
        <v>373</v>
      </c>
    </row>
    <row r="63" spans="8:8" x14ac:dyDescent="0.3">
      <c r="H63" s="113" t="s">
        <v>374</v>
      </c>
    </row>
    <row r="64" spans="8:8" x14ac:dyDescent="0.3">
      <c r="H64" s="112" t="s">
        <v>375</v>
      </c>
    </row>
    <row r="65" spans="8:8" x14ac:dyDescent="0.3">
      <c r="H65" s="110" t="s">
        <v>376</v>
      </c>
    </row>
    <row r="66" spans="8:8" x14ac:dyDescent="0.3">
      <c r="H66" s="71" t="s">
        <v>377</v>
      </c>
    </row>
    <row r="67" spans="8:8" x14ac:dyDescent="0.3">
      <c r="H67" s="113" t="s">
        <v>378</v>
      </c>
    </row>
    <row r="68" spans="8:8" x14ac:dyDescent="0.3">
      <c r="H68" s="117" t="s">
        <v>379</v>
      </c>
    </row>
    <row r="69" spans="8:8" x14ac:dyDescent="0.3">
      <c r="H69" s="70" t="s">
        <v>380</v>
      </c>
    </row>
    <row r="70" spans="8:8" x14ac:dyDescent="0.3">
      <c r="H70" s="111" t="s">
        <v>381</v>
      </c>
    </row>
    <row r="71" spans="8:8" x14ac:dyDescent="0.3">
      <c r="H71" s="70" t="s">
        <v>382</v>
      </c>
    </row>
    <row r="72" spans="8:8" x14ac:dyDescent="0.3">
      <c r="H72" s="111" t="s">
        <v>383</v>
      </c>
    </row>
    <row r="73" spans="8:8" x14ac:dyDescent="0.3">
      <c r="H73" s="119"/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673424E99D044B4A1FB44474552A9" ma:contentTypeVersion="11" ma:contentTypeDescription="Create a new document." ma:contentTypeScope="" ma:versionID="541cb6b9fee9288be1513af1acd9efd1">
  <xsd:schema xmlns:xsd="http://www.w3.org/2001/XMLSchema" xmlns:xs="http://www.w3.org/2001/XMLSchema" xmlns:p="http://schemas.microsoft.com/office/2006/metadata/properties" xmlns:ns2="d277ce56-8de3-43c1-b9ce-ff5033dad840" xmlns:ns3="0b8b2123-f09a-47bf-9044-f6e489c8d7a1" targetNamespace="http://schemas.microsoft.com/office/2006/metadata/properties" ma:root="true" ma:fieldsID="073d35413c2933ae4492be48b3c2f5c2" ns2:_="" ns3:_="">
    <xsd:import namespace="d277ce56-8de3-43c1-b9ce-ff5033dad840"/>
    <xsd:import namespace="0b8b2123-f09a-47bf-9044-f6e489c8d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ce56-8de3-43c1-b9ce-ff5033dad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ce2594-6122-4e3a-901b-0eca72ea5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b2123-f09a-47bf-9044-f6e489c8d7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aeda32-f816-49b3-b408-e16626ce47b5}" ma:internalName="TaxCatchAll" ma:showField="CatchAllData" ma:web="0b8b2123-f09a-47bf-9044-f6e489c8d7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ce56-8de3-43c1-b9ce-ff5033dad840">
      <Terms xmlns="http://schemas.microsoft.com/office/infopath/2007/PartnerControls"/>
    </lcf76f155ced4ddcb4097134ff3c332f>
    <TaxCatchAll xmlns="0b8b2123-f09a-47bf-9044-f6e489c8d7a1" xsi:nil="true"/>
  </documentManagement>
</p:properties>
</file>

<file path=customXml/itemProps1.xml><?xml version="1.0" encoding="utf-8"?>
<ds:datastoreItem xmlns:ds="http://schemas.openxmlformats.org/officeDocument/2006/customXml" ds:itemID="{43BB7860-EFE8-44D8-95AE-1B836A758D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ce56-8de3-43c1-b9ce-ff5033dad840"/>
    <ds:schemaRef ds:uri="0b8b2123-f09a-47bf-9044-f6e489c8d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78DF84-F534-4412-85AF-C2BF6808C7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785784-5336-4071-A92F-38AE667B89C0}">
  <ds:schemaRefs>
    <ds:schemaRef ds:uri="http://schemas.microsoft.com/office/2006/metadata/properties"/>
    <ds:schemaRef ds:uri="http://schemas.microsoft.com/office/infopath/2007/PartnerControls"/>
    <ds:schemaRef ds:uri="d277ce56-8de3-43c1-b9ce-ff5033dad840"/>
    <ds:schemaRef ds:uri="0b8b2123-f09a-47bf-9044-f6e489c8d7a1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Neo Motaung</cp:lastModifiedBy>
  <cp:revision/>
  <dcterms:created xsi:type="dcterms:W3CDTF">2020-04-02T09:04:10Z</dcterms:created>
  <dcterms:modified xsi:type="dcterms:W3CDTF">2025-06-05T05:53:32Z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0x010100DEA673424E99D044B4A1FB44474552A9</vt:lpwstr>
  </property>
  <property fmtid="{D5CDD505-2E9C-101B-9397-08002B2CF9AE}" pid="3" name="MediaServiceImageTags">
    <vt:lpwstr/>
  </property>
</Properties>
</file>
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northerndata-my.sharepoint.com/personal/neo_motaung_sambeconsulting_com/Documents/Documents/Timesheets/Neo/"/>
    </mc:Choice>
  </mc:AlternateContent>
  <xr:revisionPtr revIDLastSave="8" documentId="8_{62210FB9-FD36-4D82-B0B9-5C4884754E5E}" xr6:coauthVersionLast="47" xr6:coauthVersionMax="47" xr10:uidLastSave="{23949589-46C5-44CC-9004-6DC96A68D871}"/>
  <bookViews>
    <workbookView xWindow="-108" yWindow="-108" windowWidth="23256" windowHeight="12456" xr2:uid="{1C8F8026-B005-4B08-94D3-371A77F74D8F}"/>
  </bookViews>
  <sheets>
    <sheet name="Apr" sheetId="10" r:id="rId1"/>
    <sheet name="Expense Claim" sheetId="8" r:id="rId2"/>
    <sheet name="Leave" sheetId="9" r:id="rId3"/>
    <sheet name="Key" sheetId="2" r:id="rId4"/>
  </sheets>
  <definedNames>
    <definedName name="Consultant">Apr!$A$5:$B$5</definedName>
    <definedName name="tblTime">Apr!$A$8:$J$137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8" i="10" l="1"/>
  <c r="H129" i="10"/>
  <c r="H130" i="10"/>
  <c r="H131" i="10"/>
  <c r="H132" i="10"/>
  <c r="H133" i="10"/>
  <c r="H134" i="10"/>
  <c r="H135" i="10"/>
  <c r="H136" i="10"/>
  <c r="H137" i="10"/>
  <c r="H106" i="10"/>
  <c r="H107" i="10"/>
  <c r="H108" i="10"/>
  <c r="H109" i="10"/>
  <c r="H110" i="10"/>
  <c r="H111" i="10"/>
  <c r="H112" i="10"/>
  <c r="H113" i="10"/>
  <c r="H114" i="10"/>
  <c r="H115" i="10"/>
  <c r="H116" i="10"/>
  <c r="H117" i="10"/>
  <c r="H118" i="10"/>
  <c r="H119" i="10"/>
  <c r="H120" i="10"/>
  <c r="H121" i="10"/>
  <c r="H122" i="10"/>
  <c r="H123" i="10"/>
  <c r="H101" i="10"/>
  <c r="H102" i="10"/>
  <c r="H103" i="10"/>
  <c r="H104" i="10"/>
  <c r="H105" i="10"/>
  <c r="H83" i="10"/>
  <c r="H90" i="10"/>
  <c r="H67" i="10"/>
  <c r="H68" i="10"/>
  <c r="H69" i="10"/>
  <c r="H70" i="10"/>
  <c r="H71" i="10"/>
  <c r="H72" i="10"/>
  <c r="H73" i="10"/>
  <c r="H74" i="10"/>
  <c r="H75" i="10"/>
  <c r="H76" i="10"/>
  <c r="H77" i="10"/>
  <c r="H78" i="10"/>
  <c r="H79" i="10"/>
  <c r="H80" i="10"/>
  <c r="H81" i="10"/>
  <c r="H82" i="10"/>
  <c r="H84" i="10"/>
  <c r="H85" i="10"/>
  <c r="H86" i="10"/>
  <c r="H87" i="10"/>
  <c r="H88" i="10"/>
  <c r="H89" i="10"/>
  <c r="H91" i="10"/>
  <c r="H92" i="10"/>
  <c r="H93" i="10"/>
  <c r="H94" i="10"/>
  <c r="H95" i="10"/>
  <c r="H40" i="10"/>
  <c r="H41" i="10"/>
  <c r="H42" i="10"/>
  <c r="H43" i="10"/>
  <c r="H44" i="10"/>
  <c r="H45" i="10"/>
  <c r="H46" i="10"/>
  <c r="H47" i="10"/>
  <c r="H48" i="10"/>
  <c r="H49" i="10"/>
  <c r="H50" i="10"/>
  <c r="H51" i="10"/>
  <c r="H52" i="10"/>
  <c r="H53" i="10"/>
  <c r="H54" i="10"/>
  <c r="H55" i="10"/>
  <c r="H56" i="10"/>
  <c r="H57" i="10"/>
  <c r="H58" i="10"/>
  <c r="H59" i="10"/>
  <c r="H60" i="10"/>
  <c r="H61" i="10"/>
  <c r="H62" i="10"/>
  <c r="H63" i="10"/>
  <c r="H39" i="10"/>
  <c r="H38" i="10"/>
  <c r="H36" i="10"/>
  <c r="H35" i="10"/>
  <c r="H34" i="10"/>
  <c r="H33" i="10"/>
  <c r="H32" i="10"/>
  <c r="H26" i="10"/>
  <c r="H25" i="10"/>
  <c r="H24" i="10"/>
  <c r="H16" i="10"/>
  <c r="H17" i="10"/>
  <c r="H18" i="10"/>
  <c r="H19" i="10"/>
  <c r="H20" i="10"/>
  <c r="H21" i="10"/>
  <c r="H22" i="10"/>
  <c r="H23" i="10"/>
  <c r="H27" i="10"/>
  <c r="H28" i="10"/>
  <c r="H10" i="10"/>
  <c r="H11" i="10"/>
  <c r="H12" i="10"/>
  <c r="H13" i="10"/>
  <c r="D14" i="9"/>
  <c r="F17" i="8"/>
  <c r="B6" i="8" s="1"/>
  <c r="H9" i="10" l="1"/>
  <c r="F142" i="10" s="1"/>
  <c r="H127" i="10"/>
  <c r="H126" i="10"/>
  <c r="H125" i="10"/>
  <c r="H124" i="10"/>
  <c r="H100" i="10"/>
  <c r="H99" i="10"/>
  <c r="H98" i="10"/>
  <c r="H97" i="10"/>
  <c r="H96" i="10"/>
  <c r="H66" i="10"/>
  <c r="H65" i="10"/>
  <c r="H64" i="10"/>
  <c r="H37" i="10"/>
  <c r="H31" i="10"/>
  <c r="H30" i="10"/>
  <c r="H29" i="10"/>
  <c r="H15" i="10"/>
  <c r="H14" i="10"/>
  <c r="F143" i="10" l="1"/>
  <c r="F144" i="10" s="1"/>
  <c r="B6" i="10"/>
</calcChain>
</file>

<file path=xl/sharedStrings.xml><?xml version="1.0" encoding="utf-8"?>
<sst xmlns="http://schemas.openxmlformats.org/spreadsheetml/2006/main" count="944" uniqueCount="336">
  <si>
    <t>Consultant</t>
  </si>
  <si>
    <t>Neo</t>
  </si>
  <si>
    <t>Total Billable Hours</t>
  </si>
  <si>
    <t>Date</t>
  </si>
  <si>
    <t>D of Week</t>
  </si>
  <si>
    <t>Client</t>
  </si>
  <si>
    <t>Client Project Name</t>
  </si>
  <si>
    <t>Description</t>
  </si>
  <si>
    <t>Billable or Non Billable</t>
  </si>
  <si>
    <t>Comments</t>
  </si>
  <si>
    <t>Total Hours</t>
  </si>
  <si>
    <t>Start Time</t>
  </si>
  <si>
    <t>End Time</t>
  </si>
  <si>
    <t>Tuesday</t>
  </si>
  <si>
    <t>Internal Sambe</t>
  </si>
  <si>
    <t>Graduate Programme</t>
  </si>
  <si>
    <t>Meeting</t>
  </si>
  <si>
    <t>Non-Billable</t>
  </si>
  <si>
    <t>Morning stand up meeting with Clement. We were asked about our blockers and progress done so far with our courses.</t>
  </si>
  <si>
    <t>Training</t>
  </si>
  <si>
    <t>I watched one hour of the soft skills course after the meeting then continued with the Linux course. I went through file viewing commands such as more,less and cat.</t>
  </si>
  <si>
    <t>Progress check-in with Clement. Each grad was asked to share their screen and go through their course progress for the soft skills and Linuc courses, their documentation on Confluence and their cheatsheet bash file for Linux on VSCode.</t>
  </si>
  <si>
    <t>I had progressed further on my Linux course, going through file editing commands such as emacs, vi and nano and the course went through GUI file editors such as Gvim, moving, deleting and copying files, inputs and outputs, searching and wildcards. The rest of the time I was used to catch up with my documentation.</t>
  </si>
  <si>
    <t xml:space="preserve">Afternoon stand up meeting with Clement and Bongani. We went through the first 2 sections of the course to discuss key topics and what we got from it. We discussed creating an effective environment and habits to work from home and eliminate as many distractions as possible. We were told to buy the book Atomic Habits </t>
  </si>
  <si>
    <t>Wednesday</t>
  </si>
  <si>
    <t>Leave</t>
  </si>
  <si>
    <t>Thursday</t>
  </si>
  <si>
    <t>Morning check in meeting with Clement. We were asked about any blockers we have and how we were feeling so far.</t>
  </si>
  <si>
    <t>I used the time to catch up documentation for the Linux course then I used the remaining time to implement the new features in the automation project. I was only able to implement try-catch exception handling in my SQL code at this point in time</t>
  </si>
  <si>
    <t>Progress meeting with Clement. We used the time to discuss our progress then Clement gave us life advice.</t>
  </si>
  <si>
    <t>I used the time to further develop the additional features in my automation project. I was able to create a template to eliminate redundant repetition in my YAML workflow file. I tried to make improvements on my SSRS report.</t>
  </si>
  <si>
    <t>Afternoon stand up meeting with Bongani and Clement. We went through each graduate's improved SSRS report again. We were instructed to complete an SSRS reporting course due Monday and create a bash file that automates uploading our reports to the SSRS server.</t>
  </si>
  <si>
    <t>Accountability Partner meeting with Clement. My accountability partner, Mzuvukile, and I had a brief 30 minute meeting with Clement. The purpose is just to have a comfortable talk with our mentor to get to know us better and to re-assure us with any grievances.</t>
  </si>
  <si>
    <t>Friday</t>
  </si>
  <si>
    <t>Very brief stand up meeting with Clement. We were just asked our blockers and adjorned the meeting soon after</t>
  </si>
  <si>
    <t>I progressed further with the soft skills course. I learnt about effective communication methods, particularly about delivering criticism in a way that can help someone. The course also went through listening skills and to show someone that you are actually listening. I then used up the remaining time to improve my automation project and document the process.</t>
  </si>
  <si>
    <t>Accountability partner meeting with Clement and Mzuvukile. Since our last meeting was cut short, Clement decided to have another meeting with us. Unfortunately, Clement was in another meeting until 10:45 so our meeting ran a bit longer than intended. Clement wanted to get to know us so we were asked a set of questions starting with Mzuvukile. I could not answer them because of time so Clement said he will schedule another meeting</t>
  </si>
  <si>
    <t>Progress check meeting with Clement. The grads and I were asked about a specific microsoft learning path and we were asked to choose among the options and explain our reasons. We also used the time to help other graduates trouble shoot their issues with the automation project.</t>
  </si>
  <si>
    <t>After lunch, Mzuvukile and I decided to do a few test runs with our automation projects before the meeting with Clement. We encountered an issue with GitHub sending requests and I had an issue with my SQL server however we managed to find a solution.</t>
  </si>
  <si>
    <t>AP meeting with Clement and Mzuvukile. This time I was the one answering the personal questions and we had a talk about our personal lives and philosophy.</t>
  </si>
  <si>
    <t>Documentation in regards to the time sheet and progress on the work we have been doing so far.</t>
  </si>
  <si>
    <t xml:space="preserve">Afternoon stand up meeting with Bongani and Clement. The meeting was more casual as we just had a talk with some of the previous grads, what their experiences were like and what they are doing now. </t>
  </si>
  <si>
    <t>Saturday</t>
  </si>
  <si>
    <t>Sunday</t>
  </si>
  <si>
    <t>Monday</t>
  </si>
  <si>
    <t>Morning stand up meeting with Clement. We were asked how we were then we were assigned a new course for Microsoft Power tools with Power Automate, Power Apps and Sharepoint. Clement asked us to then set up a meeting with our AP to present our GitHub actions project.</t>
  </si>
  <si>
    <t xml:space="preserve">I did 1 hour of the spft skills course and then started the Power tools course on Udemy. </t>
  </si>
  <si>
    <t>Progress report with Clement. We went through the recorded videos for each AP pair for the project demonstrations.</t>
  </si>
  <si>
    <t>I continued with the Power tools course. I managed to complete the 1st section of the course and started the second section which is a crash course on Sharepoint. It introduces some of the components and uses of sharepoint such as Lists, sites, news etc.</t>
  </si>
  <si>
    <t>Afternoon stand up meeting with Bongani and Clement. We went through the soft skill course and had a group discussion what how we interrpreted the lessons and what we took from them.</t>
  </si>
  <si>
    <t xml:space="preserve">Morning stand up meeting with Clement. We were introduced to one of the new graduates for the programme. We were asked about any blockers we had. </t>
  </si>
  <si>
    <t>1 hour dedicated to the soft skills course. I then continued with the Power tools course, going into Sharepoint more. Learning about pages and lists.</t>
  </si>
  <si>
    <t>Progress report with Clement. Watched the recordings of the AP pairs who were not able to make the meeting yesterday.</t>
  </si>
  <si>
    <t>We were not able to complete every AP pair video so we used this session to watch the last video and for Clement to get an official progress report. We were asked to share our progress with the soft skills course and the power tools course.</t>
  </si>
  <si>
    <t>I continued with the Power tools course. I made further progress with section 2 as it went into what Pages and libraries were. I was then introduced to Lists in Sharepoint.</t>
  </si>
  <si>
    <t>Afternoon stand up meeting with Bongani and Clement. Bongani formally introduced himself as well as the others to the new graduate.</t>
  </si>
  <si>
    <t>Morning stand up meeting with Clement. We were asked for any blockers and we were officially introduced to the second new graduate.</t>
  </si>
  <si>
    <t>Spent this time getting through the soft skills course.</t>
  </si>
  <si>
    <t>Session 3 of the Way of Works meetings with Shaila and Angela. Shaila took us through a presentation detailing the Data cycle and then informed us about a presentation for talking about the 8 processes of Data Management that we would all have to do.</t>
  </si>
  <si>
    <t>Completed the rest of the soft skills course required for today.</t>
  </si>
  <si>
    <t>Meeting with my graduate program, The N.I.N.E.S. One of the new graduates, Mehul, joined our team so we briefly introduced ourselves then discussed our plan of action for the presentation, namely how we were gonna split the work.</t>
  </si>
  <si>
    <t>Briefly watched a few videos from section 3 of the course.</t>
  </si>
  <si>
    <t>After lunch, I was able to focus more on the course. I documented the work I have done so far then made further progress on section 3. It went through dynamic entries, approvals and parallel actions.</t>
  </si>
  <si>
    <t>Afternoon meeting with Bongani and Clement. Bongani introduced himself to Mehul. We then continued with discussions about the soft skills course going through the sections.</t>
  </si>
  <si>
    <t xml:space="preserve">Morning stand up meeting with Clement. We were asked for any blockers. </t>
  </si>
  <si>
    <t>Spent 1 hour on the soft skills course. I had completed section 3 and started section 4 outside of work time so I used this time to complete the remainder of section 4. Section 4 was about the use of Power Apps. I then briefly started section 5.</t>
  </si>
  <si>
    <t>Progress report with Clement. We were asked to share our screens to show our progress with the Power tools course and soft skills course.</t>
  </si>
  <si>
    <t>After lunch, I dedicated time to document my work so that they were up to date with my current progress in the power tools course.</t>
  </si>
  <si>
    <t>Meeting with my graduate team, the nines. We dedicated this meeting to make a final decision on what topics from the 8 processes of data management would each of us take. We made a decision and tried to come up with a timeline to decide when we would meet again to bring everything together and practise our presentations.</t>
  </si>
  <si>
    <t>Made further progress with section 5. Section 5 details the integration of sharepoint into power apps and the many features of power apps that allows us to use data sourced from sharepoint.</t>
  </si>
  <si>
    <t xml:space="preserve">Afternoon stand up meeting with Bongani and Clement. We actually discussed the power tools course and explain our understanding of each section. We then discussed the microsoft tracks with the mentors. Bongani also assigned us our power app projects and gave us </t>
  </si>
  <si>
    <t>Morning stand up meeting with Bongani. Clement could not make the meeting so Bongani asked us for our blockers then dismissed us.</t>
  </si>
  <si>
    <t>I went fuerther in the 5th section of the course. Going through galleries, icon interactions and editting forms.</t>
  </si>
  <si>
    <t>Progress meeting with Clement. We shared our progress on the power tools then we had a discussion about the technical issues we had with the course as some of us encountered issues following with the 5th section of the course. We ended the meeting but some of</t>
  </si>
  <si>
    <t>I had a brief call with some of my fellow graduates including Pascal, Lucky, Itumeleng, and Paballo to help myself and Lucky with the issues we were having. We managed to solve it.</t>
  </si>
  <si>
    <t>I used the time to document the work I have had so far and research my topics for the Data management processes.</t>
  </si>
  <si>
    <t>Afternoon stand up meeting with Bongani. We used the time to discuss the book chapter 1 of Atomic habits and how it feels reading with a physical copy vs a digital copy of a book.</t>
  </si>
  <si>
    <t>Morning check up meeting with Clement, we were asked about Blockers.</t>
  </si>
  <si>
    <t>Went through more of the Power platform course. I concluded section 6 and started section 7. Section 6 focuses on interactions between sharepoint and power automate while section 7 focuses more on power automate and power apps.</t>
  </si>
  <si>
    <t>Progress report meeting with Clement. He asked for our progress in the course and then we had a discussion.</t>
  </si>
  <si>
    <t>I continued with section 7 of the power platforms course. It went more in depth about certain triggers and functions to trigger flows in power apps.</t>
  </si>
  <si>
    <t>Meeting with my graduate group The NINES. We had done our research for our respective topics and so we divised a plan to bring our research together into slides. We decided that we would finalise our slides tomorrow.</t>
  </si>
  <si>
    <t>Afternoon meeting with Bongani and Clement. We discussed certain topics in the course, particularly section 5 and 6.</t>
  </si>
  <si>
    <t>Morning stand up with Clement. We were asked for our blockers then we had a general discussion.</t>
  </si>
  <si>
    <t>I continued with section 7, learning how to transfer images across platforms.</t>
  </si>
  <si>
    <t>Meeting with BANKSETA to verify the graduate programme. We were asked a series of questions to gauge quality of the programme and to verufy our identities with our IDs.</t>
  </si>
  <si>
    <t>Concluded section 7, ending off with two way communication between the apps, concurrent functions which are independent functions that can run at the same time, and record transfer. Started and continued to make progress on section 8 which focuses on 3rd party interactions.</t>
  </si>
  <si>
    <t>Meeting with my team The NINES. We finalised the design of the slides and we started practising our presentation</t>
  </si>
  <si>
    <t>Afternoon meeting with Bongani and Clement. We went through section 6 and 7 of the course then had general discussion.</t>
  </si>
  <si>
    <t>AP meeting with Bongani and Muzuvukile, we went through the definition of a high performer, and what it will take for us to become one.</t>
  </si>
  <si>
    <t>Morning stand up meeting with Clement. We were just asked about any blockers we had</t>
  </si>
  <si>
    <t>I made more progress on section 8. The course went through connections with Power automate and forms, trello and API calls.</t>
  </si>
  <si>
    <t>Meeting with The NINES group. We dedicated this time to practising for our presentation and giving each other feedback.</t>
  </si>
  <si>
    <t>Session 4 of the Sambe meetings with Shaila and Angela. Shaila took us through the Apllication Life Cycle and the differences between it and the SDLC</t>
  </si>
  <si>
    <t>Briefly looked further at section 8 and practised the practical work</t>
  </si>
  <si>
    <t>Progress report with Clement. The graduates gave our progress in the course and we had a brief discussion</t>
  </si>
  <si>
    <t>Practising the presentation as well as drafting some notes</t>
  </si>
  <si>
    <t>Another meet up session with the NINES dedicated to practising for the presentation.</t>
  </si>
  <si>
    <t>I completed section 8 during this session and started section 9 which focuses on user interface integration. I then researched on information on power apps that could aid me with the project</t>
  </si>
  <si>
    <t>Afternoon meeting with Clement and Bongani. We discussed section 8 of the course as a group and had a brief discussion on the book Atomic Habits</t>
  </si>
  <si>
    <t>Morning stand up with Clement. We were asked for any blockers and he confirmed that the power platforms course would be delayed.</t>
  </si>
  <si>
    <t>Briefly continued with section 9, it went through developing an almost interactive chat bot.</t>
  </si>
  <si>
    <t>Brief meeting with The NINES to practise our presentation.</t>
  </si>
  <si>
    <t>Continued with section 9. At this point it touched on adaptive cards and slice functions for teams chats. I ran into an error regarding the passing values through variables which I was not able to resolve</t>
  </si>
  <si>
    <t>I managed to resolve the error and continued with section 9 to completion. I spent the rest of the time doing my documentation.</t>
  </si>
  <si>
    <t>Brief meeting with my Accountability Partner Muzuvukile. We were just checking up on how we were doing and if we had done our work.</t>
  </si>
  <si>
    <t>Brief afternoon meeting with Clement, we just had a light discussion and concluded the day early</t>
  </si>
  <si>
    <t>Public Holiday</t>
  </si>
  <si>
    <t>Good Friday</t>
  </si>
  <si>
    <t>Family Day</t>
  </si>
  <si>
    <t>Morning stand up meeting with Clement. He asked us about our progress on the course, asked for blockers and checked on how we were doing</t>
  </si>
  <si>
    <t>Iwas in the final section of the course so I completed it and worked on my documentation for the course.</t>
  </si>
  <si>
    <t>Meeting with the NINES team. We used this time to practise our Data Management presentation then giving each other feedback.</t>
  </si>
  <si>
    <t>Progress report meeting with Clement. He checked our progress on the course. Most of us had completed it at this point so he assured us that we should keep documenting our progress and asked us about our presentations.</t>
  </si>
  <si>
    <t xml:space="preserve">I used this time to work on the power apps project. </t>
  </si>
  <si>
    <t xml:space="preserve">Bongani was unable to attend so he assigned me to run the session. We discussed the contents of the Power Apps course from section 9 onwards. </t>
  </si>
  <si>
    <t>Morning stand up meeting with Clement. He checked on us and how we were feeling about the presentations.</t>
  </si>
  <si>
    <t>Meeting with the NINES team. We practised our presentation for any final reviews.</t>
  </si>
  <si>
    <t>I worked further on my project, adding more functionalities and log in logic.</t>
  </si>
  <si>
    <t>Presentation with Angela and Shaila. The groups presented the Data management framework. We received abundant feedback and planned a new date for the second attempt.</t>
  </si>
  <si>
    <t>Dedicated this time to the power apps project and research on how to protect password input.</t>
  </si>
  <si>
    <t>Bongani dismissed the meeting early so that we can dedicate the rest of the time to the project.</t>
  </si>
  <si>
    <t>Used the remaining time towards the project.</t>
  </si>
  <si>
    <t>Morning stand-up with Clement. He asked about our projects and how we were feeling.</t>
  </si>
  <si>
    <t>I used this time towards the project. I was trying to figure out visibility of certain features depending on the user and further authentication logic for incorrect password details or emails.</t>
  </si>
  <si>
    <t>Progress meeting with Clement. He asked that the graduates showed how their Apps looked and functioned.</t>
  </si>
  <si>
    <t>Added final touches to the Power Apps project before the presentation. Added location features, sorting, searching and filtering. I attempted to add responsiveness but it was not working for me.</t>
  </si>
  <si>
    <t>Afternoon stand up meeting with Bongani. We presented our apps but Bongani stopped us and criticised us for the repetition and lack of functionality in our apps. He tooks us through what he meant by functionality and encouraged us to come with a new app in 2 weesks.</t>
  </si>
  <si>
    <t>Morning stand up meeting with Clement. He asked how we were and how the project presentations went.</t>
  </si>
  <si>
    <t>I started the new course on ITIL v4 and documented along the way. I was able to cover the course up until halfway through section 2 where it talked about ideas like services, value, service value chains and systems etc.</t>
  </si>
  <si>
    <t>Progress report with Clement. We were instucted to show our work on the course and our documentation.</t>
  </si>
  <si>
    <t>Briefly went through a few more videos on the course.</t>
  </si>
  <si>
    <t>Continued with the course and I was able to complete it. It went slightly further into the ITIL framework and concepts like continual improvements, users and consumers of services etc.</t>
  </si>
  <si>
    <t>Afternoon stand up meeting with Clement and Bongani. The session was more casual as we discussed how we have implemented the growth mindset in our lives and self-awareness.</t>
  </si>
  <si>
    <t xml:space="preserve">Freedom Day </t>
  </si>
  <si>
    <t>Freedom Day - OBS</t>
  </si>
  <si>
    <t>Morning stand up meeting, Clement asked us about our weekends and asked our progress for the ITIL book</t>
  </si>
  <si>
    <t>I read further along in the ITIL book particularly chapter 2 and 3 and then documented my notes on confluence</t>
  </si>
  <si>
    <t>Progress report meeting with Clement. We were told to share our screens and show our documentation and give an update on the progress for the course.</t>
  </si>
  <si>
    <t>I read further along in the book, finishing of my documentation for chapter 3 and then reading chapter 4 as well as documentation.</t>
  </si>
  <si>
    <t>Afternoon stand up meeting with Bongani and Clement. We discussed ITIL concepts from the course as a group then discussed how we should implement our Power Apps project.</t>
  </si>
  <si>
    <t>Morning stand up meeting with Clement. He asked us about how we were and our progress in the course.</t>
  </si>
  <si>
    <t>I read chapter 5 in the ITIL book and documented my notes</t>
  </si>
  <si>
    <t>I read the rest of chapter 5 near the end and documented along the way.</t>
  </si>
  <si>
    <t>Meeting with the NINES team, we used this time to discuss a strategy to for our presentations and have a plan for the next week.</t>
  </si>
  <si>
    <t>Concluded reading and documenting chapter 5 of the ITIL book.</t>
  </si>
  <si>
    <t>TBA</t>
  </si>
  <si>
    <t>Forcasted Hours</t>
  </si>
  <si>
    <t>Forcasted Work Days this month</t>
  </si>
  <si>
    <t>Line Manager :</t>
  </si>
  <si>
    <t>Billable Hours</t>
  </si>
  <si>
    <t>Contractor:</t>
  </si>
  <si>
    <t>Non Billable Hours</t>
  </si>
  <si>
    <t>Total of All Hours</t>
  </si>
  <si>
    <t>Plus: Hours worked, not claimed</t>
  </si>
  <si>
    <t>Example</t>
  </si>
  <si>
    <t>Total Claim</t>
  </si>
  <si>
    <t>Details</t>
  </si>
  <si>
    <t>Month</t>
  </si>
  <si>
    <t>Expense Description</t>
  </si>
  <si>
    <t>Type</t>
  </si>
  <si>
    <t>ZAR COST</t>
  </si>
  <si>
    <t>Vodacom (Example line)</t>
  </si>
  <si>
    <t>Phone</t>
  </si>
  <si>
    <t xml:space="preserve">Do not add the R symbol when capturing the amount. Use the comma not the full stop. </t>
  </si>
  <si>
    <t>MTN (Example line)</t>
  </si>
  <si>
    <t>WiFi / Internet / Data</t>
  </si>
  <si>
    <t>Afrihost (Example line)</t>
  </si>
  <si>
    <t xml:space="preserve">TOTAL </t>
  </si>
  <si>
    <t>Date From</t>
  </si>
  <si>
    <t>Date To</t>
  </si>
  <si>
    <t>Please select applicable Leave and state number of days</t>
  </si>
  <si>
    <t>Type of Leave</t>
  </si>
  <si>
    <t>Start Date</t>
  </si>
  <si>
    <t>End Date</t>
  </si>
  <si>
    <t xml:space="preserve">Number of days </t>
  </si>
  <si>
    <t>Approval Obtained</t>
  </si>
  <si>
    <t>Sick Note</t>
  </si>
  <si>
    <t>Address and Telephone Number during Annual Leave</t>
  </si>
  <si>
    <t>Employee Signature</t>
  </si>
  <si>
    <t>Client Signature</t>
  </si>
  <si>
    <t>Work</t>
  </si>
  <si>
    <t>Resource</t>
  </si>
  <si>
    <t>Billable</t>
  </si>
  <si>
    <t>ADVTech</t>
  </si>
  <si>
    <t>Recording Cvs on Workbook Sheet</t>
  </si>
  <si>
    <t>.NET code</t>
  </si>
  <si>
    <t>Albert</t>
  </si>
  <si>
    <t>AFA Sasfin</t>
  </si>
  <si>
    <t>Placing Cvs in Templates</t>
  </si>
  <si>
    <t>Admin</t>
  </si>
  <si>
    <t>Amanda</t>
  </si>
  <si>
    <t>Artist Proof Studio</t>
  </si>
  <si>
    <t>Screening</t>
  </si>
  <si>
    <t>Analysis</t>
  </si>
  <si>
    <t xml:space="preserve">Andile </t>
  </si>
  <si>
    <t>Assimil8 - AGA</t>
  </si>
  <si>
    <t>Headhunting</t>
  </si>
  <si>
    <t>Architecture</t>
  </si>
  <si>
    <t>Angela</t>
  </si>
  <si>
    <t>Base 3</t>
  </si>
  <si>
    <t>Interviews</t>
  </si>
  <si>
    <t>Aubrey</t>
  </si>
  <si>
    <t>C. Steinweg</t>
  </si>
  <si>
    <t>Fixed Assets</t>
  </si>
  <si>
    <t>Configuration</t>
  </si>
  <si>
    <t>Avinash</t>
  </si>
  <si>
    <t>WiFi</t>
  </si>
  <si>
    <t>Conekt AGSA SharePoint</t>
  </si>
  <si>
    <t>Recruitment Work</t>
  </si>
  <si>
    <t>Cubes</t>
  </si>
  <si>
    <t>Bhavesh</t>
  </si>
  <si>
    <t>Conekt – Meridian</t>
  </si>
  <si>
    <t>Team Meeting</t>
  </si>
  <si>
    <t>Database</t>
  </si>
  <si>
    <t>Bihaag</t>
  </si>
  <si>
    <t>Conekt – Altron - AGSA</t>
  </si>
  <si>
    <t>Recruitment team meeting</t>
  </si>
  <si>
    <t>Demo</t>
  </si>
  <si>
    <t>Boaz</t>
  </si>
  <si>
    <t>Yes</t>
  </si>
  <si>
    <t>Conekt – Clientele</t>
  </si>
  <si>
    <t>Deployment</t>
  </si>
  <si>
    <t>Brian</t>
  </si>
  <si>
    <t>No</t>
  </si>
  <si>
    <t>Conekt – Winning Business</t>
  </si>
  <si>
    <t>Design</t>
  </si>
  <si>
    <t>Charles</t>
  </si>
  <si>
    <t>Conekt – Internal Meeting</t>
  </si>
  <si>
    <t>Documentation</t>
  </si>
  <si>
    <t>Clement</t>
  </si>
  <si>
    <t>Dentons</t>
  </si>
  <si>
    <t>Events</t>
  </si>
  <si>
    <t xml:space="preserve">David </t>
  </si>
  <si>
    <t>Discovery</t>
  </si>
  <si>
    <t>ETL</t>
  </si>
  <si>
    <t>Diederik</t>
  </si>
  <si>
    <t>Discovery Information Governance and Security</t>
  </si>
  <si>
    <t>FrontEnd</t>
  </si>
  <si>
    <t>Diptendubala</t>
  </si>
  <si>
    <t>Discovery Bank</t>
  </si>
  <si>
    <t>Installing</t>
  </si>
  <si>
    <t>Edmond</t>
  </si>
  <si>
    <t>Discovery CSI</t>
  </si>
  <si>
    <t>Elijah</t>
  </si>
  <si>
    <t>Discovery Health</t>
  </si>
  <si>
    <t>Lunch</t>
  </si>
  <si>
    <t>Elize</t>
  </si>
  <si>
    <t>Discovery People</t>
  </si>
  <si>
    <t>Other</t>
  </si>
  <si>
    <t>Engelina</t>
  </si>
  <si>
    <t xml:space="preserve">Discovery Skills </t>
  </si>
  <si>
    <t>Presenting</t>
  </si>
  <si>
    <t>Ernest</t>
  </si>
  <si>
    <t>Discovery Vitality</t>
  </si>
  <si>
    <t>Project Management</t>
  </si>
  <si>
    <t>Eugene</t>
  </si>
  <si>
    <t>Gyro</t>
  </si>
  <si>
    <t>Research</t>
  </si>
  <si>
    <t>Evashan</t>
  </si>
  <si>
    <t>Healthforce</t>
  </si>
  <si>
    <t>Sales call</t>
  </si>
  <si>
    <t>KFC Digistics</t>
  </si>
  <si>
    <t>SharePoint</t>
  </si>
  <si>
    <t>Fayruz</t>
  </si>
  <si>
    <t>Medi-Charge</t>
  </si>
  <si>
    <t>Testing</t>
  </si>
  <si>
    <t>Hamerl</t>
  </si>
  <si>
    <t>MICA Build</t>
  </si>
  <si>
    <t>Travel</t>
  </si>
  <si>
    <t>Ian</t>
  </si>
  <si>
    <t>Michelin</t>
  </si>
  <si>
    <t>Troubleshooting</t>
  </si>
  <si>
    <t>Itumeleng</t>
  </si>
  <si>
    <t>Mistro Foods</t>
  </si>
  <si>
    <t>Waiting on client</t>
  </si>
  <si>
    <t>Iviwe</t>
  </si>
  <si>
    <t>OK Furnitures</t>
  </si>
  <si>
    <t>Website content</t>
  </si>
  <si>
    <t>Joseph</t>
  </si>
  <si>
    <t>Olympic Paints</t>
  </si>
  <si>
    <t>Website and collateral</t>
  </si>
  <si>
    <t>Juan</t>
  </si>
  <si>
    <t>RMB CM Data Warehouse support</t>
  </si>
  <si>
    <t>Annual Leave</t>
  </si>
  <si>
    <t>Jubhele</t>
  </si>
  <si>
    <t>RMB CORE NRTI</t>
  </si>
  <si>
    <t>Sick leave</t>
  </si>
  <si>
    <t>Kanelo</t>
  </si>
  <si>
    <t>RMB Liesha</t>
  </si>
  <si>
    <t>Study Leave</t>
  </si>
  <si>
    <t>Karabo</t>
  </si>
  <si>
    <t>RMB Tumelo</t>
  </si>
  <si>
    <t>Family Responsibility Leave</t>
  </si>
  <si>
    <t>Karusha</t>
  </si>
  <si>
    <t>Sachar Mobile</t>
  </si>
  <si>
    <t>Birthday leave</t>
  </si>
  <si>
    <t>Kavish</t>
  </si>
  <si>
    <t>SBV</t>
  </si>
  <si>
    <t>Keown</t>
  </si>
  <si>
    <t>Sibanya</t>
  </si>
  <si>
    <t>Sick Leave - half day</t>
  </si>
  <si>
    <t>Kiaan</t>
  </si>
  <si>
    <t>Transport Holdings</t>
  </si>
  <si>
    <t>Lazarus</t>
  </si>
  <si>
    <t>Lehlohonolo</t>
  </si>
  <si>
    <t xml:space="preserve">Lucky </t>
  </si>
  <si>
    <t xml:space="preserve">Mamello </t>
  </si>
  <si>
    <t>Muzuvukile</t>
  </si>
  <si>
    <t>Nagendra</t>
  </si>
  <si>
    <t>Nathalia</t>
  </si>
  <si>
    <t xml:space="preserve">Ndivhudzannyi </t>
  </si>
  <si>
    <t>Ongeziwe</t>
  </si>
  <si>
    <t xml:space="preserve">Paballo </t>
  </si>
  <si>
    <t xml:space="preserve">Pascal  </t>
  </si>
  <si>
    <t>Pranav</t>
  </si>
  <si>
    <t>Ravi</t>
  </si>
  <si>
    <t>Rivashan</t>
  </si>
  <si>
    <t>Sahur</t>
  </si>
  <si>
    <t>Sanele</t>
  </si>
  <si>
    <t>Sarah</t>
  </si>
  <si>
    <t>Shaila</t>
  </si>
  <si>
    <t>Shaylin</t>
  </si>
  <si>
    <t>Siemon</t>
  </si>
  <si>
    <t xml:space="preserve">Siphenathi </t>
  </si>
  <si>
    <t>Siyakhanya</t>
  </si>
  <si>
    <t>Tatenda</t>
  </si>
  <si>
    <t>Tendo</t>
  </si>
  <si>
    <t>Thabang</t>
  </si>
  <si>
    <t>Timothy</t>
  </si>
  <si>
    <t>Tutu</t>
  </si>
  <si>
    <t>Tyson</t>
  </si>
  <si>
    <t>Vincent</t>
  </si>
  <si>
    <t>Yazeed</t>
  </si>
  <si>
    <t xml:space="preserve">Yugeshin </t>
  </si>
  <si>
    <t>Zola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</si>
</sst>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h]:mm"/>
    <numFmt numFmtId="165" formatCode="h:mm;@"/>
    <numFmt numFmtId="166" formatCode="_ [$R-1C09]\ * #,##0.00_ ;_ [$R-1C09]\ * \-#,##0.00_ ;_ [$R-1C09]\ * &quot;-&quot;??_ ;_ @_ "/>
    <numFmt numFmtId="167" formatCode="[$R-1C09]#,##0.00;\-[$R-1C09]#,##0.00"/>
  </numFmts>
  <fonts count="21" x14ac:knownFonts="1">
    <font>
      <sz val="11"/>
      <color theme="1"/>
      <name val="Tw Cen MT"/>
      <family val="2"/>
      <scheme val="minor"/>
    </font>
    <font>
      <b/>
      <sz val="11"/>
      <color theme="1"/>
      <name val="Tw Cen MT"/>
      <family val="2"/>
      <scheme val="minor"/>
    </font>
    <font>
      <b/>
      <sz val="10"/>
      <color theme="1"/>
      <name val="Tw Cen MT"/>
      <family val="2"/>
      <scheme val="minor"/>
    </font>
    <font>
      <sz val="10"/>
      <color theme="1"/>
      <name val="Tw Cen MT"/>
      <family val="2"/>
      <scheme val="minor"/>
    </font>
    <font>
      <sz val="10"/>
      <color theme="1"/>
      <name val="Verdana"/>
      <family val="2"/>
    </font>
    <font>
      <b/>
      <sz val="9"/>
      <name val="Tw Cen MT"/>
      <family val="2"/>
      <scheme val="minor"/>
    </font>
    <font>
      <b/>
      <sz val="11"/>
      <name val="Tw Cen MT"/>
      <family val="2"/>
      <scheme val="minor"/>
    </font>
    <font>
      <b/>
      <u/>
      <sz val="9"/>
      <name val="Tw Cen MT"/>
      <family val="2"/>
      <scheme val="minor"/>
    </font>
    <font>
      <b/>
      <sz val="9"/>
      <color indexed="12"/>
      <name val="Tw Cen MT"/>
      <family val="2"/>
      <scheme val="minor"/>
    </font>
    <font>
      <b/>
      <sz val="10"/>
      <name val="Tw Cen MT"/>
      <family val="2"/>
      <scheme val="minor"/>
    </font>
    <font>
      <sz val="8"/>
      <name val="Tw Cen MT"/>
      <family val="2"/>
      <scheme val="minor"/>
    </font>
    <font>
      <sz val="11"/>
      <color theme="1"/>
      <name val="Calibri"/>
      <family val="2"/>
    </font>
    <font>
      <b/>
      <sz val="10"/>
      <color theme="1"/>
      <name val="Verdana"/>
      <family val="2"/>
    </font>
    <font>
      <b/>
      <sz val="10"/>
      <color theme="0"/>
      <name val="Verdana"/>
      <family val="2"/>
    </font>
    <font>
      <b/>
      <sz val="11"/>
      <color theme="0"/>
      <name val="Calibri"/>
      <family val="2"/>
    </font>
    <font>
      <sz val="11"/>
      <color rgb="FF000000"/>
      <name val="Calibri"/>
      <family val="2"/>
    </font>
    <font>
      <b/>
      <u/>
      <sz val="11"/>
      <color theme="1"/>
      <name val="Calibri"/>
      <family val="2"/>
    </font>
    <font>
      <sz val="10"/>
      <color rgb="FF000000"/>
      <name val="Calibri"/>
      <family val="2"/>
    </font>
    <font>
      <sz val="10"/>
      <color theme="1"/>
      <name val="Calibri"/>
      <family val="2"/>
    </font>
    <font>
      <b/>
      <u/>
      <sz val="18"/>
      <color theme="1"/>
      <name val="Verdana"/>
      <family val="2"/>
    </font>
    <font>
      <u/>
      <sz val="10"/>
      <color theme="1"/>
      <name val="Verdana"/>
      <family val="2"/>
    </font>
  </fonts>
  <fills count="16">
    <fill>
      <patternFill patternType="none"/>
    </fill>
    <fill>
      <patternFill patternType="gray125"/>
    </fill>
    <fill>
      <patternFill patternType="solid">
        <fgColor rgb="FF92D050"/>
        <bgColor indexed="64"/>
      </patternFill>
    </fill>
    <fill>
      <patternFill patternType="solid">
        <fgColor theme="3" tint="0.59999389629810485"/>
        <bgColor indexed="64"/>
      </patternFill>
    </fill>
    <fill>
      <patternFill patternType="solid">
        <fgColor theme="4"/>
        <bgColor theme="4"/>
      </patternFill>
    </fill>
    <fill>
      <patternFill patternType="solid">
        <fgColor theme="0" tint="-0.14999847407452621"/>
        <bgColor indexed="64"/>
      </patternFill>
    </fill>
    <fill>
      <patternFill patternType="solid">
        <fgColor theme="0"/>
        <bgColor indexed="64"/>
      </patternFill>
    </fill>
    <fill>
      <patternFill patternType="solid">
        <fgColor theme="6" tint="0.59999389629810485"/>
        <bgColor indexed="64"/>
      </patternFill>
    </fill>
    <fill>
      <patternFill patternType="solid">
        <fgColor rgb="FFFFFFFF"/>
        <bgColor indexed="64"/>
      </patternFill>
    </fill>
    <fill>
      <patternFill patternType="solid">
        <fgColor rgb="FFDCE6F1"/>
        <bgColor indexed="64"/>
      </patternFill>
    </fill>
    <fill>
      <patternFill patternType="solid">
        <fgColor rgb="FFFFFFFF"/>
        <bgColor rgb="FFFFFFFF"/>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D8D8D8"/>
        <bgColor rgb="FFD8D8D8"/>
      </patternFill>
    </fill>
    <fill>
      <patternFill patternType="solid">
        <fgColor theme="4"/>
        <bgColor indexed="64"/>
      </patternFill>
    </fill>
    <fill>
      <patternFill patternType="solid">
        <fgColor theme="8" tint="0.39997558519241921"/>
        <bgColor indexed="64"/>
      </patternFill>
    </fill>
  </fills>
  <borders count="46">
    <border>
      <left/>
      <right/>
      <top/>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right style="medium">
        <color auto="1"/>
      </right>
      <top style="medium">
        <color auto="1"/>
      </top>
      <bottom/>
      <diagonal/>
    </border>
    <border>
      <left/>
      <right style="medium">
        <color indexed="64"/>
      </right>
      <top/>
      <bottom/>
      <diagonal/>
    </border>
    <border>
      <left style="medium">
        <color indexed="64"/>
      </left>
      <right/>
      <top/>
      <bottom/>
      <diagonal/>
    </border>
    <border>
      <left style="medium">
        <color theme="3"/>
      </left>
      <right style="medium">
        <color theme="3"/>
      </right>
      <top style="medium">
        <color theme="3"/>
      </top>
      <bottom style="medium">
        <color theme="3"/>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style="medium">
        <color rgb="FF4D90FE"/>
      </top>
      <bottom/>
      <diagonal/>
    </border>
    <border>
      <left/>
      <right style="medium">
        <color rgb="FF4D90FE"/>
      </right>
      <top/>
      <bottom/>
      <diagonal/>
    </border>
    <border>
      <left/>
      <right style="medium">
        <color theme="3"/>
      </right>
      <top style="medium">
        <color theme="3"/>
      </top>
      <bottom style="medium">
        <color theme="3"/>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theme="3"/>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theme="4" tint="0.39997558519241921"/>
      </top>
      <bottom style="thin">
        <color indexed="64"/>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theme="4" tint="0.39997558519241921"/>
      </bottom>
      <diagonal/>
    </border>
    <border>
      <left style="thin">
        <color indexed="64"/>
      </left>
      <right style="thin">
        <color indexed="64"/>
      </right>
      <top style="thin">
        <color theme="4" tint="0.39997558519241921"/>
      </top>
      <bottom style="thin">
        <color indexed="64"/>
      </bottom>
      <diagonal/>
    </border>
  </borders>
  <cellStyleXfs count="1">
    <xf numFmtId="0" fontId="0" fillId="0" borderId="0"/>
  </cellStyleXfs>
  <cellXfs count="151">
    <xf numFmtId="0" fontId="0" fillId="0" borderId="0" xfId="0"/>
    <xf numFmtId="0" fontId="3" fillId="0" borderId="0" xfId="0" applyFont="1"/>
    <xf numFmtId="0" fontId="5" fillId="0" borderId="0" xfId="0" applyFont="1"/>
    <xf numFmtId="164" fontId="5" fillId="0" borderId="0" xfId="0" applyNumberFormat="1" applyFont="1"/>
    <xf numFmtId="0" fontId="5" fillId="0" borderId="0" xfId="0" applyFont="1" applyAlignment="1">
      <alignment horizontal="right"/>
    </xf>
    <xf numFmtId="0" fontId="3" fillId="0" borderId="1" xfId="0" applyFont="1" applyBorder="1"/>
    <xf numFmtId="0" fontId="2" fillId="0" borderId="7" xfId="0" applyFont="1" applyBorder="1" applyAlignment="1">
      <alignment horizontal="right" wrapText="1"/>
    </xf>
    <xf numFmtId="20" fontId="5" fillId="0" borderId="0" xfId="0" applyNumberFormat="1" applyFont="1"/>
    <xf numFmtId="0" fontId="3" fillId="0" borderId="3" xfId="0" applyFont="1" applyBorder="1"/>
    <xf numFmtId="0" fontId="3" fillId="0" borderId="5" xfId="0" applyFont="1" applyBorder="1" applyAlignment="1">
      <alignment horizontal="right" wrapText="1"/>
    </xf>
    <xf numFmtId="49" fontId="5" fillId="0" borderId="0" xfId="0" applyNumberFormat="1" applyFont="1" applyAlignment="1">
      <alignment vertical="top"/>
    </xf>
    <xf numFmtId="0" fontId="7" fillId="0" borderId="0" xfId="0" applyFont="1" applyAlignment="1">
      <alignment horizontal="left" vertical="top"/>
    </xf>
    <xf numFmtId="0" fontId="1" fillId="0" borderId="1" xfId="0" applyFont="1" applyBorder="1"/>
    <xf numFmtId="164" fontId="3" fillId="0" borderId="7" xfId="0" applyNumberFormat="1" applyFont="1" applyBorder="1" applyAlignment="1">
      <alignment horizontal="right" wrapText="1"/>
    </xf>
    <xf numFmtId="49" fontId="8" fillId="0" borderId="8" xfId="0" applyNumberFormat="1" applyFont="1" applyBorder="1" applyAlignment="1">
      <alignment vertical="top"/>
    </xf>
    <xf numFmtId="0" fontId="1" fillId="0" borderId="9" xfId="0" applyFont="1" applyBorder="1"/>
    <xf numFmtId="164" fontId="3" fillId="0" borderId="8" xfId="0" applyNumberFormat="1" applyFont="1" applyBorder="1" applyAlignment="1">
      <alignment horizontal="right" wrapText="1"/>
    </xf>
    <xf numFmtId="0" fontId="1" fillId="0" borderId="10" xfId="0" applyFont="1" applyBorder="1"/>
    <xf numFmtId="0" fontId="9" fillId="0" borderId="11" xfId="0" applyFont="1" applyBorder="1" applyAlignment="1">
      <alignment horizontal="left"/>
    </xf>
    <xf numFmtId="0" fontId="3" fillId="0" borderId="12" xfId="0" applyFont="1" applyBorder="1" applyAlignment="1">
      <alignment wrapText="1"/>
    </xf>
    <xf numFmtId="14" fontId="4" fillId="0" borderId="6" xfId="0" applyNumberFormat="1" applyFont="1" applyBorder="1"/>
    <xf numFmtId="0" fontId="4" fillId="0" borderId="0" xfId="0" applyFont="1"/>
    <xf numFmtId="0" fontId="13" fillId="4" borderId="13" xfId="0" applyFont="1" applyFill="1" applyBorder="1"/>
    <xf numFmtId="0" fontId="13" fillId="4" borderId="14" xfId="0" applyFont="1" applyFill="1" applyBorder="1"/>
    <xf numFmtId="0" fontId="13" fillId="4" borderId="14" xfId="0" applyFont="1" applyFill="1" applyBorder="1" applyAlignment="1">
      <alignment horizontal="center" wrapText="1"/>
    </xf>
    <xf numFmtId="0" fontId="4" fillId="0" borderId="6" xfId="0" applyFont="1" applyBorder="1"/>
    <xf numFmtId="0" fontId="4" fillId="0" borderId="6" xfId="0" applyFont="1" applyBorder="1" applyAlignment="1">
      <alignment wrapText="1"/>
    </xf>
    <xf numFmtId="165" fontId="4" fillId="0" borderId="6" xfId="0" applyNumberFormat="1" applyFont="1" applyBorder="1"/>
    <xf numFmtId="165" fontId="4" fillId="0" borderId="6" xfId="0" applyNumberFormat="1" applyFont="1" applyBorder="1" applyAlignment="1">
      <alignment wrapText="1"/>
    </xf>
    <xf numFmtId="14" fontId="4" fillId="3" borderId="6" xfId="0" applyNumberFormat="1" applyFont="1" applyFill="1" applyBorder="1"/>
    <xf numFmtId="0" fontId="4" fillId="3" borderId="6" xfId="0" applyFont="1" applyFill="1" applyBorder="1"/>
    <xf numFmtId="0" fontId="4" fillId="3" borderId="6" xfId="0" applyFont="1" applyFill="1" applyBorder="1" applyAlignment="1">
      <alignment wrapText="1"/>
    </xf>
    <xf numFmtId="165" fontId="4" fillId="3" borderId="6" xfId="0" applyNumberFormat="1" applyFont="1" applyFill="1" applyBorder="1"/>
    <xf numFmtId="165" fontId="4" fillId="3" borderId="6" xfId="0" applyNumberFormat="1" applyFont="1" applyFill="1" applyBorder="1" applyAlignment="1">
      <alignment wrapText="1"/>
    </xf>
    <xf numFmtId="0" fontId="12" fillId="0" borderId="0" xfId="0" applyFont="1"/>
    <xf numFmtId="164" fontId="4" fillId="0" borderId="0" xfId="0" applyNumberFormat="1" applyFont="1"/>
    <xf numFmtId="0" fontId="4" fillId="0" borderId="12" xfId="0" applyFont="1" applyBorder="1" applyAlignment="1">
      <alignment wrapText="1"/>
    </xf>
    <xf numFmtId="0" fontId="4" fillId="0" borderId="0" xfId="0" applyFont="1" applyAlignment="1">
      <alignment wrapText="1"/>
    </xf>
    <xf numFmtId="0" fontId="4" fillId="0" borderId="0" xfId="0" applyFont="1" applyAlignment="1">
      <alignment horizontal="left"/>
    </xf>
    <xf numFmtId="0" fontId="13" fillId="4" borderId="14" xfId="0" applyFont="1" applyFill="1" applyBorder="1" applyAlignment="1">
      <alignment wrapText="1"/>
    </xf>
    <xf numFmtId="0" fontId="13" fillId="4" borderId="15" xfId="0" applyFont="1" applyFill="1" applyBorder="1" applyAlignment="1">
      <alignment horizontal="center" wrapText="1"/>
    </xf>
    <xf numFmtId="164" fontId="3" fillId="0" borderId="19" xfId="0" applyNumberFormat="1" applyFont="1" applyBorder="1" applyAlignment="1">
      <alignment wrapText="1"/>
    </xf>
    <xf numFmtId="14" fontId="4" fillId="0" borderId="0" xfId="0" applyNumberFormat="1" applyFont="1"/>
    <xf numFmtId="14" fontId="4" fillId="7" borderId="6" xfId="0" applyNumberFormat="1" applyFont="1" applyFill="1" applyBorder="1"/>
    <xf numFmtId="0" fontId="4" fillId="7" borderId="6" xfId="0" applyFont="1" applyFill="1" applyBorder="1"/>
    <xf numFmtId="0" fontId="4" fillId="7" borderId="6" xfId="0" applyFont="1" applyFill="1" applyBorder="1" applyAlignment="1">
      <alignment wrapText="1"/>
    </xf>
    <xf numFmtId="165" fontId="4" fillId="7" borderId="6" xfId="0" applyNumberFormat="1" applyFont="1" applyFill="1" applyBorder="1"/>
    <xf numFmtId="165" fontId="4" fillId="7" borderId="6" xfId="0" applyNumberFormat="1" applyFont="1" applyFill="1" applyBorder="1" applyAlignment="1">
      <alignment wrapText="1"/>
    </xf>
    <xf numFmtId="0" fontId="11" fillId="0" borderId="0" xfId="0" applyFont="1"/>
    <xf numFmtId="0" fontId="14" fillId="4" borderId="16" xfId="0" applyFont="1" applyFill="1" applyBorder="1"/>
    <xf numFmtId="0" fontId="11" fillId="0" borderId="16" xfId="0" applyFont="1" applyBorder="1"/>
    <xf numFmtId="0" fontId="15" fillId="9" borderId="17" xfId="0" applyFont="1" applyFill="1" applyBorder="1"/>
    <xf numFmtId="0" fontId="15" fillId="8" borderId="18" xfId="0" applyFont="1" applyFill="1" applyBorder="1"/>
    <xf numFmtId="0" fontId="15" fillId="8" borderId="0" xfId="0" applyFont="1" applyFill="1"/>
    <xf numFmtId="0" fontId="15" fillId="9" borderId="18" xfId="0" applyFont="1" applyFill="1" applyBorder="1"/>
    <xf numFmtId="0" fontId="15" fillId="9" borderId="0" xfId="0" applyFont="1" applyFill="1"/>
    <xf numFmtId="0" fontId="16" fillId="0" borderId="0" xfId="0" applyFont="1" applyAlignment="1">
      <alignment vertical="center"/>
    </xf>
    <xf numFmtId="0" fontId="11" fillId="0" borderId="0" xfId="0" applyFont="1" applyAlignment="1">
      <alignment vertical="center"/>
    </xf>
    <xf numFmtId="0" fontId="15" fillId="8" borderId="0" xfId="0" applyFont="1" applyFill="1" applyProtection="1">
      <protection locked="0"/>
    </xf>
    <xf numFmtId="0" fontId="15" fillId="9" borderId="0" xfId="0" applyFont="1" applyFill="1" applyProtection="1">
      <protection locked="0"/>
    </xf>
    <xf numFmtId="0" fontId="11" fillId="0" borderId="0" xfId="0" applyFont="1" applyProtection="1">
      <protection locked="0"/>
    </xf>
    <xf numFmtId="0" fontId="11" fillId="0" borderId="37" xfId="0" applyFont="1" applyBorder="1"/>
    <xf numFmtId="0" fontId="17" fillId="13" borderId="36" xfId="0" applyFont="1" applyFill="1" applyBorder="1" applyAlignment="1">
      <alignment horizontal="left" wrapText="1" readingOrder="1"/>
    </xf>
    <xf numFmtId="0" fontId="17" fillId="0" borderId="36" xfId="0" applyFont="1" applyBorder="1" applyAlignment="1">
      <alignment horizontal="left"/>
    </xf>
    <xf numFmtId="0" fontId="17" fillId="0" borderId="36" xfId="0" applyFont="1" applyBorder="1"/>
    <xf numFmtId="0" fontId="17" fillId="0" borderId="6" xfId="0" applyFont="1" applyBorder="1" applyAlignment="1">
      <alignment horizontal="left"/>
    </xf>
    <xf numFmtId="0" fontId="17" fillId="0" borderId="6" xfId="0" applyFont="1" applyBorder="1"/>
    <xf numFmtId="0" fontId="11" fillId="12" borderId="16" xfId="0" applyFont="1" applyFill="1" applyBorder="1"/>
    <xf numFmtId="164" fontId="4" fillId="2" borderId="0" xfId="0" applyNumberFormat="1" applyFont="1" applyFill="1" applyAlignment="1">
      <alignment wrapText="1"/>
    </xf>
    <xf numFmtId="14" fontId="4" fillId="0" borderId="9" xfId="0" applyNumberFormat="1" applyFont="1" applyBorder="1" applyAlignment="1">
      <alignment horizontal="right" vertical="center"/>
    </xf>
    <xf numFmtId="0" fontId="4" fillId="0" borderId="0" xfId="0" applyFont="1" applyAlignment="1">
      <alignment horizontal="left" vertical="center"/>
    </xf>
    <xf numFmtId="0" fontId="12" fillId="6" borderId="0" xfId="0" applyFont="1" applyFill="1" applyAlignment="1">
      <alignment horizontal="right" vertical="center"/>
    </xf>
    <xf numFmtId="166" fontId="12" fillId="5" borderId="23" xfId="0" applyNumberFormat="1" applyFont="1" applyFill="1" applyBorder="1" applyAlignment="1">
      <alignment horizontal="center" vertical="center"/>
    </xf>
    <xf numFmtId="167" fontId="4" fillId="0" borderId="26" xfId="0" applyNumberFormat="1" applyFont="1" applyBorder="1" applyAlignment="1">
      <alignment horizontal="center" vertical="center"/>
    </xf>
    <xf numFmtId="17" fontId="4" fillId="0" borderId="24" xfId="0" applyNumberFormat="1" applyFont="1" applyBorder="1" applyAlignment="1">
      <alignment horizontal="right" vertical="center"/>
    </xf>
    <xf numFmtId="0" fontId="12" fillId="0" borderId="0" xfId="0" applyFont="1" applyAlignment="1">
      <alignment vertical="center"/>
    </xf>
    <xf numFmtId="0" fontId="19" fillId="0" borderId="0" xfId="0" applyFont="1" applyAlignment="1">
      <alignment vertical="center"/>
    </xf>
    <xf numFmtId="166" fontId="4" fillId="2" borderId="0" xfId="0" applyNumberFormat="1" applyFont="1" applyFill="1" applyAlignment="1">
      <alignment vertical="center"/>
    </xf>
    <xf numFmtId="0" fontId="4" fillId="5" borderId="38" xfId="0" applyFont="1" applyFill="1" applyBorder="1" applyAlignment="1">
      <alignment horizontal="center" vertical="center"/>
    </xf>
    <xf numFmtId="166" fontId="4" fillId="5" borderId="5" xfId="0" applyNumberFormat="1" applyFont="1" applyFill="1" applyBorder="1" applyAlignment="1">
      <alignment horizontal="center" vertical="center"/>
    </xf>
    <xf numFmtId="0" fontId="4" fillId="0" borderId="0" xfId="0" applyFont="1" applyAlignment="1">
      <alignment vertical="center"/>
    </xf>
    <xf numFmtId="0" fontId="4" fillId="0" borderId="0" xfId="0" applyFont="1" applyAlignment="1">
      <alignment vertical="center" wrapText="1"/>
    </xf>
    <xf numFmtId="14" fontId="4" fillId="0" borderId="0" xfId="0" applyNumberFormat="1" applyFont="1" applyAlignment="1">
      <alignment vertical="center"/>
    </xf>
    <xf numFmtId="0" fontId="4" fillId="0" borderId="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2" xfId="0" applyFont="1" applyBorder="1" applyAlignment="1">
      <alignment horizontal="center" vertical="center" wrapText="1"/>
    </xf>
    <xf numFmtId="0" fontId="12" fillId="0" borderId="3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7" xfId="0" applyFont="1" applyBorder="1"/>
    <xf numFmtId="0" fontId="4" fillId="0" borderId="29" xfId="0" applyFont="1" applyBorder="1"/>
    <xf numFmtId="0" fontId="4" fillId="0" borderId="30" xfId="0" applyFont="1" applyBorder="1"/>
    <xf numFmtId="0" fontId="12" fillId="0" borderId="0" xfId="0" applyFont="1" applyAlignment="1">
      <alignment vertical="center" wrapText="1"/>
    </xf>
    <xf numFmtId="0" fontId="4" fillId="0" borderId="9" xfId="0" applyFont="1" applyBorder="1" applyAlignment="1">
      <alignment vertical="center" wrapText="1"/>
    </xf>
    <xf numFmtId="0" fontId="17" fillId="12" borderId="36" xfId="0" applyFont="1" applyFill="1" applyBorder="1" applyAlignment="1">
      <alignment horizontal="left"/>
    </xf>
    <xf numFmtId="0" fontId="17" fillId="12" borderId="36" xfId="0" applyFont="1" applyFill="1" applyBorder="1" applyAlignment="1">
      <alignment horizontal="left" vertical="center" wrapText="1"/>
    </xf>
    <xf numFmtId="0" fontId="18" fillId="12" borderId="36" xfId="0" applyFont="1" applyFill="1" applyBorder="1" applyAlignment="1">
      <alignment vertical="center"/>
    </xf>
    <xf numFmtId="0" fontId="17" fillId="12" borderId="36" xfId="0" applyFont="1" applyFill="1" applyBorder="1"/>
    <xf numFmtId="0" fontId="17" fillId="12" borderId="44" xfId="0" applyFont="1" applyFill="1" applyBorder="1" applyAlignment="1">
      <alignment horizontal="left"/>
    </xf>
    <xf numFmtId="0" fontId="17" fillId="0" borderId="44" xfId="0" applyFont="1" applyBorder="1"/>
    <xf numFmtId="0" fontId="17" fillId="0" borderId="44" xfId="0" applyFont="1" applyBorder="1" applyAlignment="1">
      <alignment horizontal="left"/>
    </xf>
    <xf numFmtId="0" fontId="17" fillId="12" borderId="44" xfId="0" applyFont="1" applyFill="1" applyBorder="1"/>
    <xf numFmtId="0" fontId="17" fillId="0" borderId="44" xfId="0" applyFont="1" applyBorder="1" applyAlignment="1">
      <alignment horizontal="left" vertical="center" wrapText="1"/>
    </xf>
    <xf numFmtId="0" fontId="17" fillId="12" borderId="42" xfId="0" applyFont="1" applyFill="1" applyBorder="1"/>
    <xf numFmtId="0" fontId="17" fillId="0" borderId="6" xfId="0" applyFont="1" applyBorder="1" applyAlignment="1">
      <alignment horizontal="left" vertical="center" wrapText="1"/>
    </xf>
    <xf numFmtId="0" fontId="17" fillId="12" borderId="6" xfId="0" applyFont="1" applyFill="1" applyBorder="1" applyAlignment="1">
      <alignment horizontal="left"/>
    </xf>
    <xf numFmtId="0" fontId="17" fillId="12" borderId="6" xfId="0" applyFont="1" applyFill="1" applyBorder="1" applyAlignment="1">
      <alignment horizontal="left" vertical="center" wrapText="1"/>
    </xf>
    <xf numFmtId="0" fontId="17" fillId="12" borderId="6" xfId="0" applyFont="1" applyFill="1" applyBorder="1"/>
    <xf numFmtId="0" fontId="17" fillId="12" borderId="42" xfId="0" applyFont="1" applyFill="1" applyBorder="1" applyAlignment="1">
      <alignment horizontal="left" vertical="center" wrapText="1"/>
    </xf>
    <xf numFmtId="0" fontId="17" fillId="0" borderId="43" xfId="0" applyFont="1" applyBorder="1" applyAlignment="1">
      <alignment horizontal="left" vertical="center" wrapText="1"/>
    </xf>
    <xf numFmtId="0" fontId="17" fillId="12" borderId="45" xfId="0" applyFont="1" applyFill="1" applyBorder="1" applyAlignment="1">
      <alignment horizontal="left" vertical="center" wrapText="1"/>
    </xf>
    <xf numFmtId="0" fontId="17" fillId="10" borderId="6" xfId="0" applyFont="1" applyFill="1" applyBorder="1" applyAlignment="1">
      <alignment horizontal="left"/>
    </xf>
    <xf numFmtId="14" fontId="4" fillId="15" borderId="6" xfId="0" applyNumberFormat="1" applyFont="1" applyFill="1" applyBorder="1"/>
    <xf numFmtId="0" fontId="4" fillId="15" borderId="6" xfId="0" applyFont="1" applyFill="1" applyBorder="1"/>
    <xf numFmtId="0" fontId="4" fillId="15" borderId="6" xfId="0" applyFont="1" applyFill="1" applyBorder="1" applyAlignment="1">
      <alignment wrapText="1"/>
    </xf>
    <xf numFmtId="165" fontId="4" fillId="15" borderId="6" xfId="0" applyNumberFormat="1" applyFont="1" applyFill="1" applyBorder="1"/>
    <xf numFmtId="165" fontId="4" fillId="15" borderId="6" xfId="0" applyNumberFormat="1" applyFont="1" applyFill="1" applyBorder="1" applyAlignment="1">
      <alignment wrapText="1"/>
    </xf>
    <xf numFmtId="0" fontId="4" fillId="6" borderId="6" xfId="0" applyFont="1" applyFill="1" applyBorder="1"/>
    <xf numFmtId="165" fontId="4" fillId="0" borderId="0" xfId="0" applyNumberFormat="1" applyFont="1"/>
    <xf numFmtId="165" fontId="4" fillId="0" borderId="0" xfId="0" applyNumberFormat="1" applyFont="1" applyAlignment="1">
      <alignment wrapText="1"/>
    </xf>
    <xf numFmtId="49" fontId="6" fillId="0" borderId="4" xfId="0" applyNumberFormat="1" applyFont="1" applyBorder="1" applyAlignment="1">
      <alignment horizontal="left" vertical="top"/>
    </xf>
    <xf numFmtId="0" fontId="6" fillId="0" borderId="4" xfId="0" applyFont="1" applyBorder="1" applyAlignment="1">
      <alignment horizontal="left" vertical="top" wrapText="1"/>
    </xf>
    <xf numFmtId="0" fontId="4" fillId="11" borderId="9" xfId="0" applyFont="1" applyFill="1" applyBorder="1" applyAlignment="1">
      <alignment horizontal="center"/>
    </xf>
    <xf numFmtId="0" fontId="4" fillId="11" borderId="0" xfId="0" applyFont="1" applyFill="1" applyAlignment="1">
      <alignment horizontal="center"/>
    </xf>
    <xf numFmtId="0" fontId="4" fillId="5" borderId="39" xfId="0" applyFont="1" applyFill="1" applyBorder="1" applyAlignment="1">
      <alignment horizontal="center" vertical="center"/>
    </xf>
    <xf numFmtId="0" fontId="4" fillId="5" borderId="40" xfId="0" applyFont="1" applyFill="1" applyBorder="1" applyAlignment="1">
      <alignment horizontal="center" vertical="center"/>
    </xf>
    <xf numFmtId="0" fontId="4" fillId="0" borderId="25" xfId="0" applyFont="1" applyBorder="1" applyAlignment="1">
      <alignment horizontal="left" vertical="center"/>
    </xf>
    <xf numFmtId="0" fontId="13" fillId="14" borderId="0" xfId="0" applyFont="1" applyFill="1" applyAlignment="1">
      <alignment horizontal="center" vertical="center"/>
    </xf>
    <xf numFmtId="0" fontId="4" fillId="0" borderId="20" xfId="0" applyFont="1" applyBorder="1" applyAlignment="1">
      <alignment horizontal="left" vertical="center"/>
    </xf>
    <xf numFmtId="0" fontId="4" fillId="0" borderId="21" xfId="0" applyFont="1" applyBorder="1" applyAlignment="1">
      <alignment horizontal="left" vertical="center"/>
    </xf>
    <xf numFmtId="0" fontId="12" fillId="5" borderId="11" xfId="0" applyFont="1" applyFill="1" applyBorder="1" applyAlignment="1">
      <alignment horizontal="left" vertical="center"/>
    </xf>
    <xf numFmtId="0" fontId="12" fillId="5" borderId="32" xfId="0" applyFont="1" applyFill="1" applyBorder="1" applyAlignment="1">
      <alignment horizontal="left" vertical="center"/>
    </xf>
    <xf numFmtId="0" fontId="12" fillId="5" borderId="22" xfId="0" applyFont="1" applyFill="1" applyBorder="1" applyAlignment="1">
      <alignment horizontal="left"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12" fillId="0" borderId="0" xfId="0" applyFont="1" applyAlignment="1">
      <alignment vertical="center" wrapText="1"/>
    </xf>
    <xf numFmtId="0" fontId="4" fillId="0" borderId="9"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28" xfId="0" applyFont="1" applyBorder="1" applyAlignment="1">
      <alignment horizontal="center"/>
    </xf>
    <xf numFmtId="0" fontId="4" fillId="0" borderId="33" xfId="0" applyFont="1" applyBorder="1" applyAlignment="1">
      <alignment horizontal="center"/>
    </xf>
    <xf numFmtId="0" fontId="4" fillId="0" borderId="6" xfId="0" applyFont="1" applyBorder="1" applyAlignment="1">
      <alignment horizontal="center"/>
    </xf>
    <xf numFmtId="0" fontId="4" fillId="0" borderId="34" xfId="0" applyFont="1" applyBorder="1" applyAlignment="1">
      <alignment horizontal="center"/>
    </xf>
    <xf numFmtId="0" fontId="4" fillId="0" borderId="31" xfId="0" applyFont="1" applyBorder="1" applyAlignment="1">
      <alignment horizontal="center"/>
    </xf>
    <xf numFmtId="0" fontId="4" fillId="0" borderId="35" xfId="0" applyFont="1" applyBorder="1" applyAlignment="1">
      <alignment horizontal="center"/>
    </xf>
    <xf numFmtId="0" fontId="13" fillId="4" borderId="41" xfId="0" applyFont="1" applyFill="1" applyBorder="1" applyAlignment="1">
      <alignment horizontal="center" vertical="center"/>
    </xf>
    <xf numFmtId="0" fontId="20" fillId="0" borderId="1"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7" xfId="0" applyFont="1" applyBorder="1" applyAlignment="1">
      <alignment horizontal="center" vertical="center" wrapText="1"/>
    </xf>
  </cellXfs>
  <cellStyles count="1">
    <cellStyle name="Normal" xfId="0" builtinId="0"/>
  </cellStyles>
  <dxfs count="23">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3" tint="0.59996337778862885"/>
        </patternFill>
      </fill>
    </dxf>
    <dxf>
      <fill>
        <patternFill>
          <bgColor theme="3" tint="0.59996337778862885"/>
        </patternFill>
      </fill>
    </dxf>
    <dxf>
      <fill>
        <patternFill>
          <bgColor rgb="FF92D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border diagonalUp="0" diagonalDown="0" outline="0">
        <left style="thin">
          <color theme="4" tint="0.39997558519241921"/>
        </left>
        <right style="thin">
          <color theme="4" tint="0.39997558519241921"/>
        </right>
        <top style="thin">
          <color theme="4" tint="0.39997558519241921"/>
        </top>
        <bottom style="thin">
          <color theme="4" tint="0.39997558519241921"/>
        </bottom>
      </border>
    </dxf>
    <dxf>
      <border outline="0">
        <bottom style="thin">
          <color theme="4" tint="0.39997558519241921"/>
        </bottom>
      </border>
    </dxf>
    <dxf>
      <font>
        <b val="0"/>
        <i val="0"/>
        <strike val="0"/>
        <condense val="0"/>
        <extend val="0"/>
        <outline val="0"/>
        <shadow val="0"/>
        <u val="none"/>
        <vertAlign val="baseline"/>
        <sz val="11"/>
        <color rgb="FF000000"/>
        <name val="Calibri"/>
        <family val="2"/>
        <scheme val="none"/>
      </font>
      <fill>
        <patternFill patternType="solid">
          <fgColor indexed="64"/>
          <bgColor rgb="FFDCE6F1"/>
        </patternFill>
      </fill>
    </dxf>
    <dxf>
      <font>
        <b val="0"/>
        <i val="0"/>
        <strike val="0"/>
        <condense val="0"/>
        <extend val="0"/>
        <outline val="0"/>
        <shadow val="0"/>
        <u val="none"/>
        <vertAlign val="baseline"/>
        <sz val="11"/>
        <color theme="1"/>
        <name val="Calibri"/>
        <family val="2"/>
        <scheme val="none"/>
      </font>
    </dxf>
    <dxf>
      <font>
        <strike val="0"/>
        <outline val="0"/>
        <shadow val="0"/>
        <vertAlign val="baseline"/>
        <sz val="10"/>
        <color rgb="FF000000"/>
        <name val="Calibri"/>
        <family val="2"/>
        <scheme val="none"/>
      </font>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0"/>
        <color rgb="FF000000"/>
        <name val="Calibri"/>
        <family val="2"/>
        <scheme val="none"/>
      </font>
    </dxf>
    <dxf>
      <font>
        <strike val="0"/>
        <outline val="0"/>
        <shadow val="0"/>
        <vertAlign val="baseline"/>
        <sz val="11"/>
        <name val="Calibri"/>
        <family val="2"/>
        <scheme val="none"/>
      </font>
    </dxf>
  </dxfs>
  <tableStyles count="1" defaultTableStyle="TableStyleMedium2" defaultPivotStyle="PivotStyleLight16">
    <tableStyle name="Invisible" pivot="0" table="0" count="0" xr9:uid="{6758C6CA-2356-4535-9D9D-86230C42321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39728</xdr:colOff>
      <xdr:row>3</xdr:row>
      <xdr:rowOff>93132</xdr:rowOff>
    </xdr:to>
    <xdr:pic>
      <xdr:nvPicPr>
        <xdr:cNvPr id="2" name="Picture 1">
          <a:extLst>
            <a:ext uri="{FF2B5EF4-FFF2-40B4-BE49-F238E27FC236}">
              <a16:creationId xmlns:a16="http://schemas.microsoft.com/office/drawing/2014/main" id="{B527A185-3469-4256-8135-AE06214E76FE}"/>
            </a:ext>
          </a:extLst>
        </xdr:cNvPr>
        <xdr:cNvPicPr>
          <a:picLocks noChangeAspect="1"/>
        </xdr:cNvPicPr>
      </xdr:nvPicPr>
      <xdr:blipFill>
        <a:blip xmlns:r="http://schemas.openxmlformats.org/officeDocument/2006/relationships" r:embed="rId1"/>
        <a:stretch>
          <a:fillRect/>
        </a:stretch>
      </xdr:blipFill>
      <xdr:spPr>
        <a:xfrm>
          <a:off x="0" y="0"/>
          <a:ext cx="1953195" cy="6011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47755</xdr:colOff>
      <xdr:row>3</xdr:row>
      <xdr:rowOff>93901</xdr:rowOff>
    </xdr:to>
    <xdr:pic>
      <xdr:nvPicPr>
        <xdr:cNvPr id="2" name="Picture 1">
          <a:extLst>
            <a:ext uri="{FF2B5EF4-FFF2-40B4-BE49-F238E27FC236}">
              <a16:creationId xmlns:a16="http://schemas.microsoft.com/office/drawing/2014/main" id="{A3A15F1F-E2D6-422B-9DE6-17F4BDF3A2F2}"/>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775889</xdr:colOff>
      <xdr:row>3</xdr:row>
      <xdr:rowOff>93901</xdr:rowOff>
    </xdr:to>
    <xdr:pic>
      <xdr:nvPicPr>
        <xdr:cNvPr id="2" name="Picture 1">
          <a:extLst>
            <a:ext uri="{FF2B5EF4-FFF2-40B4-BE49-F238E27FC236}">
              <a16:creationId xmlns:a16="http://schemas.microsoft.com/office/drawing/2014/main" id="{FB3CC2B0-EA9F-4C12-B282-00CD0E23FFC4}"/>
            </a:ext>
          </a:extLst>
        </xdr:cNvPr>
        <xdr:cNvPicPr>
          <a:picLocks noChangeAspect="1"/>
        </xdr:cNvPicPr>
      </xdr:nvPicPr>
      <xdr:blipFill>
        <a:blip xmlns:r="http://schemas.openxmlformats.org/officeDocument/2006/relationships" r:embed="rId1"/>
        <a:stretch>
          <a:fillRect/>
        </a:stretch>
      </xdr:blipFill>
      <xdr:spPr>
        <a:xfrm>
          <a:off x="0" y="0"/>
          <a:ext cx="1961222" cy="60190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E876225-7964-4082-91F1-C6221C464408}" name="WorkType" displayName="WorkType" ref="H2:H72" totalsRowShown="0" headerRowDxfId="22" dataDxfId="21">
  <autoFilter ref="H2:H72" xr:uid="{2E876225-7964-4082-91F1-C6221C464408}"/>
  <tableColumns count="1">
    <tableColumn id="2" xr3:uid="{234A6588-4DEA-4067-9367-AEAFE02CA40D}" name="Resource" dataDxfId="2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49CFBE-03DA-4A5C-8F86-52A53133C863}" name="ProjectTable" displayName="ProjectTable" ref="F2:F39" totalsRowShown="0" headerRowDxfId="19" dataDxfId="18" tableBorderDxfId="17">
  <autoFilter ref="F2:F39" xr:uid="{B149CFBE-03DA-4A5C-8F86-52A53133C863}"/>
  <sortState xmlns:xlrd2="http://schemas.microsoft.com/office/spreadsheetml/2017/richdata2" ref="F3:F19">
    <sortCondition ref="F2:F19"/>
  </sortState>
  <tableColumns count="1">
    <tableColumn id="1" xr3:uid="{D9788319-59C4-447A-9364-6F4EF6730453}" name="Description" dataDxfId="16"/>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D3D5-6C83-45F2-B2A7-43EE15BF1EF3}">
  <dimension ref="A5:J147"/>
  <sheetViews>
    <sheetView tabSelected="1" zoomScale="75" zoomScaleNormal="75" workbookViewId="0">
      <selection activeCell="A5" sqref="A5:B5"/>
    </sheetView>
  </sheetViews>
  <sheetFormatPr defaultColWidth="8.69921875" defaultRowHeight="12.6" x14ac:dyDescent="0.2"/>
  <cols>
    <col min="1" max="1" width="12" style="21" customWidth="1"/>
    <col min="2" max="2" width="13.09765625" style="21" customWidth="1"/>
    <col min="3" max="3" width="16.19921875" style="21" customWidth="1"/>
    <col min="4" max="5" width="20" style="21" customWidth="1"/>
    <col min="6" max="6" width="23.09765625" style="21" customWidth="1"/>
    <col min="7" max="7" width="34" style="21" customWidth="1"/>
    <col min="8" max="16384" width="8.69921875" style="21"/>
  </cols>
  <sheetData>
    <row r="5" spans="1:10" x14ac:dyDescent="0.2">
      <c r="A5" s="34" t="s">
        <v>0</v>
      </c>
      <c r="B5" s="21" t="s">
        <v>1</v>
      </c>
      <c r="H5" s="37"/>
    </row>
    <row r="6" spans="1:10" x14ac:dyDescent="0.2">
      <c r="A6" s="34" t="s">
        <v>2</v>
      </c>
      <c r="B6" s="68">
        <f>F142</f>
        <v>0</v>
      </c>
      <c r="C6" s="34"/>
      <c r="H6" s="37"/>
      <c r="J6" s="38"/>
    </row>
    <row r="7" spans="1:10" x14ac:dyDescent="0.2">
      <c r="A7" s="34"/>
      <c r="B7" s="42"/>
      <c r="C7" s="34"/>
      <c r="D7" s="34"/>
      <c r="E7" s="34"/>
      <c r="H7" s="37"/>
      <c r="J7" s="38"/>
    </row>
    <row r="8" spans="1:10" ht="25.2" x14ac:dyDescent="0.2">
      <c r="A8" s="22" t="s">
        <v>3</v>
      </c>
      <c r="B8" s="23" t="s">
        <v>4</v>
      </c>
      <c r="C8" s="23" t="s">
        <v>5</v>
      </c>
      <c r="D8" s="23" t="s">
        <v>6</v>
      </c>
      <c r="E8" s="23" t="s">
        <v>7</v>
      </c>
      <c r="F8" s="23" t="s">
        <v>8</v>
      </c>
      <c r="G8" s="39" t="s">
        <v>9</v>
      </c>
      <c r="H8" s="24" t="s">
        <v>10</v>
      </c>
      <c r="I8" s="24" t="s">
        <v>11</v>
      </c>
      <c r="J8" s="40" t="s">
        <v>12</v>
      </c>
    </row>
    <row r="9" spans="1:10" ht="50.4" x14ac:dyDescent="0.2">
      <c r="A9" s="20">
        <v>45748</v>
      </c>
      <c r="B9" s="20" t="s">
        <v>13</v>
      </c>
      <c r="C9" s="25" t="s">
        <v>14</v>
      </c>
      <c r="D9" s="25" t="s">
        <v>15</v>
      </c>
      <c r="E9" s="25" t="s">
        <v>16</v>
      </c>
      <c r="F9" s="25" t="s">
        <v>17</v>
      </c>
      <c r="G9" s="26" t="s">
        <v>18</v>
      </c>
      <c r="H9" s="27">
        <f t="shared" ref="H9:H13" si="0">J9-I9</f>
        <v>1.3888888888888895E-2</v>
      </c>
      <c r="I9" s="28">
        <v>0.33333333333333331</v>
      </c>
      <c r="J9" s="28">
        <v>0.34722222222222221</v>
      </c>
    </row>
    <row r="10" spans="1:10" ht="63" x14ac:dyDescent="0.2">
      <c r="A10" s="20">
        <v>45748</v>
      </c>
      <c r="B10" s="20" t="s">
        <v>13</v>
      </c>
      <c r="C10" s="25" t="s">
        <v>14</v>
      </c>
      <c r="D10" s="25" t="s">
        <v>15</v>
      </c>
      <c r="E10" s="25" t="s">
        <v>19</v>
      </c>
      <c r="F10" s="25" t="s">
        <v>17</v>
      </c>
      <c r="G10" s="26" t="s">
        <v>20</v>
      </c>
      <c r="H10" s="27">
        <f t="shared" si="0"/>
        <v>0.1111111111111111</v>
      </c>
      <c r="I10" s="28">
        <v>0.34722222222222221</v>
      </c>
      <c r="J10" s="28">
        <v>0.45833333333333331</v>
      </c>
    </row>
    <row r="11" spans="1:10" ht="88.2" x14ac:dyDescent="0.2">
      <c r="A11" s="20">
        <v>45748</v>
      </c>
      <c r="B11" s="20" t="s">
        <v>13</v>
      </c>
      <c r="C11" s="25" t="s">
        <v>14</v>
      </c>
      <c r="D11" s="25" t="s">
        <v>15</v>
      </c>
      <c r="E11" s="25" t="s">
        <v>16</v>
      </c>
      <c r="F11" s="25" t="s">
        <v>17</v>
      </c>
      <c r="G11" s="26" t="s">
        <v>21</v>
      </c>
      <c r="H11" s="27">
        <f t="shared" si="0"/>
        <v>4.1666666666666685E-2</v>
      </c>
      <c r="I11" s="28">
        <v>0.45833333333333331</v>
      </c>
      <c r="J11" s="28">
        <v>0.5</v>
      </c>
    </row>
    <row r="12" spans="1:10" ht="126" x14ac:dyDescent="0.2">
      <c r="A12" s="20">
        <v>45689</v>
      </c>
      <c r="B12" s="20" t="s">
        <v>13</v>
      </c>
      <c r="C12" s="25" t="s">
        <v>14</v>
      </c>
      <c r="D12" s="25" t="s">
        <v>15</v>
      </c>
      <c r="E12" s="25" t="s">
        <v>19</v>
      </c>
      <c r="F12" s="25" t="s">
        <v>17</v>
      </c>
      <c r="G12" s="26" t="s">
        <v>22</v>
      </c>
      <c r="H12" s="27">
        <f t="shared" si="0"/>
        <v>0.125</v>
      </c>
      <c r="I12" s="28">
        <v>0.54166666666666663</v>
      </c>
      <c r="J12" s="28">
        <v>0.66666666666666663</v>
      </c>
    </row>
    <row r="13" spans="1:10" ht="126" x14ac:dyDescent="0.2">
      <c r="A13" s="20">
        <v>45748</v>
      </c>
      <c r="B13" s="20" t="s">
        <v>13</v>
      </c>
      <c r="C13" s="25" t="s">
        <v>14</v>
      </c>
      <c r="D13" s="25" t="s">
        <v>15</v>
      </c>
      <c r="E13" s="25" t="s">
        <v>16</v>
      </c>
      <c r="F13" s="25" t="s">
        <v>17</v>
      </c>
      <c r="G13" s="26" t="s">
        <v>23</v>
      </c>
      <c r="H13" s="27">
        <f t="shared" si="0"/>
        <v>6.25E-2</v>
      </c>
      <c r="I13" s="28">
        <v>0.66666666666666663</v>
      </c>
      <c r="J13" s="28">
        <v>0.72916666666666663</v>
      </c>
    </row>
    <row r="14" spans="1:10" x14ac:dyDescent="0.2">
      <c r="A14" s="111">
        <v>45749</v>
      </c>
      <c r="B14" s="111" t="s">
        <v>24</v>
      </c>
      <c r="C14" s="112"/>
      <c r="D14" s="112"/>
      <c r="E14" s="112"/>
      <c r="F14" s="112"/>
      <c r="G14" s="113" t="s">
        <v>25</v>
      </c>
      <c r="H14" s="114">
        <f t="shared" ref="H14:H132" si="1">J14-I14</f>
        <v>0.33333333333333331</v>
      </c>
      <c r="I14" s="115">
        <v>0.33333333333333331</v>
      </c>
      <c r="J14" s="115">
        <v>0.66666666666666663</v>
      </c>
    </row>
    <row r="15" spans="1:10" ht="50.4" x14ac:dyDescent="0.2">
      <c r="A15" s="20">
        <v>45750</v>
      </c>
      <c r="B15" s="20" t="s">
        <v>26</v>
      </c>
      <c r="C15" s="25" t="s">
        <v>14</v>
      </c>
      <c r="D15" s="25" t="s">
        <v>15</v>
      </c>
      <c r="E15" s="25" t="s">
        <v>16</v>
      </c>
      <c r="F15" s="25" t="s">
        <v>17</v>
      </c>
      <c r="G15" s="26" t="s">
        <v>27</v>
      </c>
      <c r="H15" s="27">
        <f t="shared" si="1"/>
        <v>1.0416666666666685E-2</v>
      </c>
      <c r="I15" s="28">
        <v>0.33333333333333331</v>
      </c>
      <c r="J15" s="28">
        <v>0.34375</v>
      </c>
    </row>
    <row r="16" spans="1:10" ht="100.8" x14ac:dyDescent="0.2">
      <c r="A16" s="20">
        <v>45750</v>
      </c>
      <c r="B16" s="20" t="s">
        <v>26</v>
      </c>
      <c r="C16" s="25" t="s">
        <v>14</v>
      </c>
      <c r="D16" s="25" t="s">
        <v>15</v>
      </c>
      <c r="E16" s="25" t="s">
        <v>19</v>
      </c>
      <c r="F16" s="25" t="s">
        <v>17</v>
      </c>
      <c r="G16" s="26" t="s">
        <v>28</v>
      </c>
      <c r="H16" s="27">
        <f t="shared" si="1"/>
        <v>0.11458333333333331</v>
      </c>
      <c r="I16" s="28">
        <v>0.34375</v>
      </c>
      <c r="J16" s="28">
        <v>0.45833333333333331</v>
      </c>
    </row>
    <row r="17" spans="1:10" ht="50.4" x14ac:dyDescent="0.2">
      <c r="A17" s="20">
        <v>45750</v>
      </c>
      <c r="B17" s="20" t="s">
        <v>26</v>
      </c>
      <c r="C17" s="25" t="s">
        <v>14</v>
      </c>
      <c r="D17" s="25" t="s">
        <v>15</v>
      </c>
      <c r="E17" s="25" t="s">
        <v>16</v>
      </c>
      <c r="F17" s="25" t="s">
        <v>17</v>
      </c>
      <c r="G17" s="26" t="s">
        <v>29</v>
      </c>
      <c r="H17" s="27">
        <f t="shared" si="1"/>
        <v>4.5833333333333337E-2</v>
      </c>
      <c r="I17" s="28">
        <v>0.45833333333333331</v>
      </c>
      <c r="J17" s="28">
        <v>0.50416666666666665</v>
      </c>
    </row>
    <row r="18" spans="1:10" ht="88.2" x14ac:dyDescent="0.2">
      <c r="A18" s="20">
        <v>45750</v>
      </c>
      <c r="B18" s="20" t="s">
        <v>26</v>
      </c>
      <c r="C18" s="25" t="s">
        <v>14</v>
      </c>
      <c r="D18" s="25" t="s">
        <v>15</v>
      </c>
      <c r="E18" s="25" t="s">
        <v>19</v>
      </c>
      <c r="F18" s="25" t="s">
        <v>17</v>
      </c>
      <c r="G18" s="26" t="s">
        <v>30</v>
      </c>
      <c r="H18" s="27">
        <f t="shared" si="1"/>
        <v>0.12152777777777779</v>
      </c>
      <c r="I18" s="28">
        <v>0.54513888888888884</v>
      </c>
      <c r="J18" s="28">
        <v>0.66666666666666663</v>
      </c>
    </row>
    <row r="19" spans="1:10" ht="113.4" x14ac:dyDescent="0.2">
      <c r="A19" s="20">
        <v>45750</v>
      </c>
      <c r="B19" s="20" t="s">
        <v>26</v>
      </c>
      <c r="C19" s="25" t="s">
        <v>14</v>
      </c>
      <c r="D19" s="25" t="s">
        <v>15</v>
      </c>
      <c r="E19" s="25" t="s">
        <v>16</v>
      </c>
      <c r="F19" s="25" t="s">
        <v>17</v>
      </c>
      <c r="G19" s="26" t="s">
        <v>31</v>
      </c>
      <c r="H19" s="27">
        <f t="shared" si="1"/>
        <v>5.208333333333337E-2</v>
      </c>
      <c r="I19" s="28">
        <v>0.66666666666666663</v>
      </c>
      <c r="J19" s="28">
        <v>0.71875</v>
      </c>
    </row>
    <row r="20" spans="1:10" ht="100.8" x14ac:dyDescent="0.2">
      <c r="A20" s="20">
        <v>45750</v>
      </c>
      <c r="B20" s="20" t="s">
        <v>26</v>
      </c>
      <c r="C20" s="25" t="s">
        <v>14</v>
      </c>
      <c r="D20" s="25" t="s">
        <v>15</v>
      </c>
      <c r="E20" s="25" t="s">
        <v>16</v>
      </c>
      <c r="F20" s="25" t="s">
        <v>17</v>
      </c>
      <c r="G20" s="26" t="s">
        <v>32</v>
      </c>
      <c r="H20" s="27">
        <f t="shared" si="1"/>
        <v>2.430555555555558E-2</v>
      </c>
      <c r="I20" s="28">
        <v>0.72916666666666663</v>
      </c>
      <c r="J20" s="28">
        <v>0.75347222222222221</v>
      </c>
    </row>
    <row r="21" spans="1:10" ht="50.4" x14ac:dyDescent="0.2">
      <c r="A21" s="20">
        <v>45751</v>
      </c>
      <c r="B21" s="20" t="s">
        <v>33</v>
      </c>
      <c r="C21" s="25" t="s">
        <v>14</v>
      </c>
      <c r="D21" s="25" t="s">
        <v>15</v>
      </c>
      <c r="E21" s="25" t="s">
        <v>16</v>
      </c>
      <c r="F21" s="25" t="s">
        <v>17</v>
      </c>
      <c r="G21" s="26" t="s">
        <v>34</v>
      </c>
      <c r="H21" s="27">
        <f t="shared" si="1"/>
        <v>3.4722222222222654E-3</v>
      </c>
      <c r="I21" s="28">
        <v>0.33333333333333331</v>
      </c>
      <c r="J21" s="28">
        <v>0.33680555555555558</v>
      </c>
    </row>
    <row r="22" spans="1:10" ht="138.6" x14ac:dyDescent="0.2">
      <c r="A22" s="20">
        <v>45751</v>
      </c>
      <c r="B22" s="20" t="s">
        <v>33</v>
      </c>
      <c r="C22" s="25" t="s">
        <v>14</v>
      </c>
      <c r="D22" s="25" t="s">
        <v>15</v>
      </c>
      <c r="E22" s="25" t="s">
        <v>19</v>
      </c>
      <c r="F22" s="25" t="s">
        <v>17</v>
      </c>
      <c r="G22" s="26" t="s">
        <v>35</v>
      </c>
      <c r="H22" s="27">
        <f t="shared" si="1"/>
        <v>0.10069444444444442</v>
      </c>
      <c r="I22" s="28">
        <v>0.33680555555555558</v>
      </c>
      <c r="J22" s="28">
        <v>0.4375</v>
      </c>
    </row>
    <row r="23" spans="1:10" ht="163.80000000000001" x14ac:dyDescent="0.2">
      <c r="A23" s="20">
        <v>45751</v>
      </c>
      <c r="B23" s="20" t="s">
        <v>33</v>
      </c>
      <c r="C23" s="25" t="s">
        <v>14</v>
      </c>
      <c r="D23" s="25" t="s">
        <v>15</v>
      </c>
      <c r="E23" s="25" t="s">
        <v>16</v>
      </c>
      <c r="F23" s="25" t="s">
        <v>17</v>
      </c>
      <c r="G23" s="26" t="s">
        <v>36</v>
      </c>
      <c r="H23" s="27">
        <f t="shared" si="1"/>
        <v>3.125E-2</v>
      </c>
      <c r="I23" s="28">
        <v>0.4375</v>
      </c>
      <c r="J23" s="28">
        <v>0.46875</v>
      </c>
    </row>
    <row r="24" spans="1:10" ht="113.4" x14ac:dyDescent="0.2">
      <c r="A24" s="20">
        <v>45751</v>
      </c>
      <c r="B24" s="20" t="s">
        <v>33</v>
      </c>
      <c r="C24" s="25" t="s">
        <v>14</v>
      </c>
      <c r="D24" s="25" t="s">
        <v>15</v>
      </c>
      <c r="E24" s="25" t="s">
        <v>16</v>
      </c>
      <c r="F24" s="25" t="s">
        <v>17</v>
      </c>
      <c r="G24" s="26" t="s">
        <v>37</v>
      </c>
      <c r="H24" s="27">
        <f t="shared" si="1"/>
        <v>4.166666666666663E-2</v>
      </c>
      <c r="I24" s="28">
        <v>0.46875</v>
      </c>
      <c r="J24" s="28">
        <v>0.51041666666666663</v>
      </c>
    </row>
    <row r="25" spans="1:10" ht="100.8" x14ac:dyDescent="0.2">
      <c r="A25" s="20">
        <v>45751</v>
      </c>
      <c r="B25" s="20" t="s">
        <v>33</v>
      </c>
      <c r="C25" s="25" t="s">
        <v>14</v>
      </c>
      <c r="D25" s="25" t="s">
        <v>15</v>
      </c>
      <c r="E25" s="25" t="s">
        <v>19</v>
      </c>
      <c r="F25" s="25" t="s">
        <v>17</v>
      </c>
      <c r="G25" s="26" t="s">
        <v>38</v>
      </c>
      <c r="H25" s="27">
        <f t="shared" si="1"/>
        <v>3.125E-2</v>
      </c>
      <c r="I25" s="28">
        <v>0.55208333333333337</v>
      </c>
      <c r="J25" s="28">
        <v>0.58333333333333337</v>
      </c>
    </row>
    <row r="26" spans="1:10" ht="63" x14ac:dyDescent="0.2">
      <c r="A26" s="20">
        <v>45751</v>
      </c>
      <c r="B26" s="20" t="s">
        <v>33</v>
      </c>
      <c r="C26" s="25" t="s">
        <v>14</v>
      </c>
      <c r="D26" s="25" t="s">
        <v>15</v>
      </c>
      <c r="E26" s="25" t="s">
        <v>16</v>
      </c>
      <c r="F26" s="25" t="s">
        <v>17</v>
      </c>
      <c r="G26" s="26" t="s">
        <v>39</v>
      </c>
      <c r="H26" s="27">
        <f t="shared" si="1"/>
        <v>3.125E-2</v>
      </c>
      <c r="I26" s="28">
        <v>0.58333333333333337</v>
      </c>
      <c r="J26" s="28">
        <v>0.61458333333333337</v>
      </c>
    </row>
    <row r="27" spans="1:10" ht="37.799999999999997" x14ac:dyDescent="0.2">
      <c r="A27" s="20">
        <v>45751</v>
      </c>
      <c r="B27" s="20" t="s">
        <v>33</v>
      </c>
      <c r="C27" s="25" t="s">
        <v>14</v>
      </c>
      <c r="D27" s="25" t="s">
        <v>15</v>
      </c>
      <c r="E27" s="25" t="s">
        <v>19</v>
      </c>
      <c r="F27" s="25" t="s">
        <v>17</v>
      </c>
      <c r="G27" s="26" t="s">
        <v>40</v>
      </c>
      <c r="H27" s="27">
        <f t="shared" si="1"/>
        <v>5.2083333333333259E-2</v>
      </c>
      <c r="I27" s="28">
        <v>0.61458333333333337</v>
      </c>
      <c r="J27" s="28">
        <v>0.66666666666666663</v>
      </c>
    </row>
    <row r="28" spans="1:10" ht="75.599999999999994" x14ac:dyDescent="0.2">
      <c r="A28" s="20">
        <v>45751</v>
      </c>
      <c r="B28" s="20" t="s">
        <v>33</v>
      </c>
      <c r="C28" s="25" t="s">
        <v>14</v>
      </c>
      <c r="D28" s="25" t="s">
        <v>15</v>
      </c>
      <c r="E28" s="25" t="s">
        <v>16</v>
      </c>
      <c r="F28" s="25" t="s">
        <v>17</v>
      </c>
      <c r="G28" s="26" t="s">
        <v>41</v>
      </c>
      <c r="H28" s="27">
        <f t="shared" si="1"/>
        <v>8.333333333333337E-2</v>
      </c>
      <c r="I28" s="28">
        <v>0.66666666666666663</v>
      </c>
      <c r="J28" s="28">
        <v>0.75</v>
      </c>
    </row>
    <row r="29" spans="1:10" x14ac:dyDescent="0.2">
      <c r="A29" s="29">
        <v>45752</v>
      </c>
      <c r="B29" s="29" t="s">
        <v>42</v>
      </c>
      <c r="C29" s="30"/>
      <c r="D29" s="30"/>
      <c r="E29" s="30"/>
      <c r="F29" s="30"/>
      <c r="G29" s="31"/>
      <c r="H29" s="32">
        <f t="shared" si="1"/>
        <v>0</v>
      </c>
      <c r="I29" s="33"/>
      <c r="J29" s="33"/>
    </row>
    <row r="30" spans="1:10" x14ac:dyDescent="0.2">
      <c r="A30" s="29">
        <v>45753</v>
      </c>
      <c r="B30" s="29" t="s">
        <v>43</v>
      </c>
      <c r="C30" s="30"/>
      <c r="D30" s="30"/>
      <c r="E30" s="30"/>
      <c r="F30" s="30"/>
      <c r="G30" s="31"/>
      <c r="H30" s="32">
        <f t="shared" si="1"/>
        <v>0</v>
      </c>
      <c r="I30" s="33"/>
      <c r="J30" s="33"/>
    </row>
    <row r="31" spans="1:10" ht="100.8" x14ac:dyDescent="0.2">
      <c r="A31" s="20">
        <v>45754</v>
      </c>
      <c r="B31" s="20" t="s">
        <v>44</v>
      </c>
      <c r="C31" s="25" t="s">
        <v>14</v>
      </c>
      <c r="D31" s="25" t="s">
        <v>15</v>
      </c>
      <c r="E31" s="25" t="s">
        <v>16</v>
      </c>
      <c r="F31" s="25" t="s">
        <v>17</v>
      </c>
      <c r="G31" s="26" t="s">
        <v>45</v>
      </c>
      <c r="H31" s="27">
        <f t="shared" si="1"/>
        <v>2.083333333333337E-2</v>
      </c>
      <c r="I31" s="28">
        <v>0.33333333333333331</v>
      </c>
      <c r="J31" s="28">
        <v>0.35416666666666669</v>
      </c>
    </row>
    <row r="32" spans="1:10" ht="37.799999999999997" x14ac:dyDescent="0.2">
      <c r="A32" s="20">
        <v>45754</v>
      </c>
      <c r="B32" s="20" t="s">
        <v>44</v>
      </c>
      <c r="C32" s="25" t="s">
        <v>14</v>
      </c>
      <c r="D32" s="25" t="s">
        <v>15</v>
      </c>
      <c r="E32" s="25" t="s">
        <v>19</v>
      </c>
      <c r="F32" s="25" t="s">
        <v>17</v>
      </c>
      <c r="G32" s="26" t="s">
        <v>46</v>
      </c>
      <c r="H32" s="27">
        <f t="shared" si="1"/>
        <v>0.10416666666666663</v>
      </c>
      <c r="I32" s="28">
        <v>0.35416666666666669</v>
      </c>
      <c r="J32" s="28">
        <v>0.45833333333333331</v>
      </c>
    </row>
    <row r="33" spans="1:10" ht="50.4" x14ac:dyDescent="0.2">
      <c r="A33" s="20">
        <v>45754</v>
      </c>
      <c r="B33" s="20" t="s">
        <v>44</v>
      </c>
      <c r="C33" s="25" t="s">
        <v>14</v>
      </c>
      <c r="D33" s="25" t="s">
        <v>15</v>
      </c>
      <c r="E33" s="25" t="s">
        <v>16</v>
      </c>
      <c r="F33" s="25" t="s">
        <v>17</v>
      </c>
      <c r="G33" s="26" t="s">
        <v>47</v>
      </c>
      <c r="H33" s="27">
        <f t="shared" si="1"/>
        <v>4.8611111111111105E-2</v>
      </c>
      <c r="I33" s="28">
        <v>0.45833333333333331</v>
      </c>
      <c r="J33" s="28">
        <v>0.50694444444444442</v>
      </c>
    </row>
    <row r="34" spans="1:10" ht="50.4" x14ac:dyDescent="0.2">
      <c r="A34" s="20">
        <v>45754</v>
      </c>
      <c r="B34" s="20" t="s">
        <v>44</v>
      </c>
      <c r="C34" s="25" t="s">
        <v>14</v>
      </c>
      <c r="D34" s="25" t="s">
        <v>15</v>
      </c>
      <c r="E34" s="25" t="s">
        <v>16</v>
      </c>
      <c r="F34" s="25" t="s">
        <v>17</v>
      </c>
      <c r="G34" s="26" t="s">
        <v>47</v>
      </c>
      <c r="H34" s="27">
        <f t="shared" si="1"/>
        <v>2.0833333333333259E-2</v>
      </c>
      <c r="I34" s="28">
        <v>0.55208333333333337</v>
      </c>
      <c r="J34" s="28">
        <v>0.57291666666666663</v>
      </c>
    </row>
    <row r="35" spans="1:10" ht="100.8" x14ac:dyDescent="0.2">
      <c r="A35" s="20">
        <v>45754</v>
      </c>
      <c r="B35" s="20" t="s">
        <v>44</v>
      </c>
      <c r="C35" s="25" t="s">
        <v>14</v>
      </c>
      <c r="D35" s="25" t="s">
        <v>15</v>
      </c>
      <c r="E35" s="25" t="s">
        <v>19</v>
      </c>
      <c r="F35" s="25" t="s">
        <v>17</v>
      </c>
      <c r="G35" s="26" t="s">
        <v>48</v>
      </c>
      <c r="H35" s="27">
        <f t="shared" si="1"/>
        <v>9.375E-2</v>
      </c>
      <c r="I35" s="28">
        <v>0.57291666666666663</v>
      </c>
      <c r="J35" s="28">
        <v>0.66666666666666663</v>
      </c>
    </row>
    <row r="36" spans="1:10" ht="75.599999999999994" x14ac:dyDescent="0.2">
      <c r="A36" s="20">
        <v>45754</v>
      </c>
      <c r="B36" s="20" t="s">
        <v>44</v>
      </c>
      <c r="C36" s="25" t="s">
        <v>14</v>
      </c>
      <c r="D36" s="25" t="s">
        <v>15</v>
      </c>
      <c r="E36" s="25" t="s">
        <v>16</v>
      </c>
      <c r="F36" s="25" t="s">
        <v>17</v>
      </c>
      <c r="G36" s="26" t="s">
        <v>49</v>
      </c>
      <c r="H36" s="27">
        <f t="shared" si="1"/>
        <v>6.4583333333333326E-2</v>
      </c>
      <c r="I36" s="28">
        <v>0.66666666666666663</v>
      </c>
      <c r="J36" s="28">
        <v>0.73124999999999996</v>
      </c>
    </row>
    <row r="37" spans="1:10" ht="63" x14ac:dyDescent="0.2">
      <c r="A37" s="20">
        <v>45755</v>
      </c>
      <c r="B37" s="20" t="s">
        <v>13</v>
      </c>
      <c r="C37" s="25" t="s">
        <v>14</v>
      </c>
      <c r="D37" s="25" t="s">
        <v>15</v>
      </c>
      <c r="E37" s="25" t="s">
        <v>16</v>
      </c>
      <c r="F37" s="25" t="s">
        <v>17</v>
      </c>
      <c r="G37" s="26" t="s">
        <v>50</v>
      </c>
      <c r="H37" s="27">
        <f t="shared" si="1"/>
        <v>4.1666666666666685E-2</v>
      </c>
      <c r="I37" s="28">
        <v>0.33333333333333331</v>
      </c>
      <c r="J37" s="28">
        <v>0.375</v>
      </c>
    </row>
    <row r="38" spans="1:10" ht="63" x14ac:dyDescent="0.2">
      <c r="A38" s="20">
        <v>45755</v>
      </c>
      <c r="B38" s="20" t="s">
        <v>13</v>
      </c>
      <c r="C38" s="25" t="s">
        <v>14</v>
      </c>
      <c r="D38" s="25" t="s">
        <v>15</v>
      </c>
      <c r="E38" s="25" t="s">
        <v>19</v>
      </c>
      <c r="F38" s="25" t="s">
        <v>17</v>
      </c>
      <c r="G38" s="26" t="s">
        <v>51</v>
      </c>
      <c r="H38" s="27">
        <f t="shared" si="1"/>
        <v>8.3333333333333315E-2</v>
      </c>
      <c r="I38" s="28">
        <v>0.375</v>
      </c>
      <c r="J38" s="28">
        <v>0.45833333333333331</v>
      </c>
    </row>
    <row r="39" spans="1:10" ht="50.4" x14ac:dyDescent="0.2">
      <c r="A39" s="20">
        <v>45755</v>
      </c>
      <c r="B39" s="20" t="s">
        <v>13</v>
      </c>
      <c r="C39" s="25" t="s">
        <v>14</v>
      </c>
      <c r="D39" s="25" t="s">
        <v>15</v>
      </c>
      <c r="E39" s="25" t="s">
        <v>16</v>
      </c>
      <c r="F39" s="25" t="s">
        <v>17</v>
      </c>
      <c r="G39" s="26" t="s">
        <v>52</v>
      </c>
      <c r="H39" s="27">
        <f t="shared" si="1"/>
        <v>4.1666666666666685E-2</v>
      </c>
      <c r="I39" s="28">
        <v>0.45833333333333331</v>
      </c>
      <c r="J39" s="28">
        <v>0.5</v>
      </c>
    </row>
    <row r="40" spans="1:10" ht="88.2" x14ac:dyDescent="0.2">
      <c r="A40" s="20">
        <v>45755</v>
      </c>
      <c r="B40" s="20" t="s">
        <v>13</v>
      </c>
      <c r="C40" s="25" t="s">
        <v>14</v>
      </c>
      <c r="D40" s="25" t="s">
        <v>15</v>
      </c>
      <c r="E40" s="25" t="s">
        <v>16</v>
      </c>
      <c r="F40" s="25" t="s">
        <v>17</v>
      </c>
      <c r="G40" s="26" t="s">
        <v>53</v>
      </c>
      <c r="H40" s="27">
        <f t="shared" si="1"/>
        <v>2.0833333333333259E-2</v>
      </c>
      <c r="I40" s="28">
        <v>0.55208333333333337</v>
      </c>
      <c r="J40" s="28">
        <v>0.57291666666666663</v>
      </c>
    </row>
    <row r="41" spans="1:10" ht="63" x14ac:dyDescent="0.2">
      <c r="A41" s="20">
        <v>45755</v>
      </c>
      <c r="B41" s="20" t="s">
        <v>13</v>
      </c>
      <c r="C41" s="25" t="s">
        <v>14</v>
      </c>
      <c r="D41" s="25" t="s">
        <v>15</v>
      </c>
      <c r="E41" s="25" t="s">
        <v>19</v>
      </c>
      <c r="F41" s="25" t="s">
        <v>17</v>
      </c>
      <c r="G41" s="26" t="s">
        <v>54</v>
      </c>
      <c r="H41" s="27">
        <f t="shared" si="1"/>
        <v>9.375E-2</v>
      </c>
      <c r="I41" s="28">
        <v>0.57291666666666663</v>
      </c>
      <c r="J41" s="28">
        <v>0.66666666666666663</v>
      </c>
    </row>
    <row r="42" spans="1:10" ht="50.4" x14ac:dyDescent="0.2">
      <c r="A42" s="20">
        <v>45755</v>
      </c>
      <c r="B42" s="20" t="s">
        <v>13</v>
      </c>
      <c r="C42" s="25" t="s">
        <v>14</v>
      </c>
      <c r="D42" s="25" t="s">
        <v>15</v>
      </c>
      <c r="E42" s="25" t="s">
        <v>16</v>
      </c>
      <c r="F42" s="25" t="s">
        <v>17</v>
      </c>
      <c r="G42" s="26" t="s">
        <v>55</v>
      </c>
      <c r="H42" s="27">
        <f t="shared" si="1"/>
        <v>6.25E-2</v>
      </c>
      <c r="I42" s="28">
        <v>0.66666666666666663</v>
      </c>
      <c r="J42" s="28">
        <v>0.72916666666666663</v>
      </c>
    </row>
    <row r="43" spans="1:10" ht="63" x14ac:dyDescent="0.2">
      <c r="A43" s="20">
        <v>45756</v>
      </c>
      <c r="B43" s="20" t="s">
        <v>24</v>
      </c>
      <c r="C43" s="25" t="s">
        <v>14</v>
      </c>
      <c r="D43" s="25" t="s">
        <v>15</v>
      </c>
      <c r="E43" s="25" t="s">
        <v>16</v>
      </c>
      <c r="F43" s="25" t="s">
        <v>17</v>
      </c>
      <c r="G43" s="26" t="s">
        <v>56</v>
      </c>
      <c r="H43" s="27">
        <f t="shared" si="1"/>
        <v>1.3888888888888895E-2</v>
      </c>
      <c r="I43" s="28">
        <v>0.33333333333333331</v>
      </c>
      <c r="J43" s="28">
        <v>0.34722222222222221</v>
      </c>
    </row>
    <row r="44" spans="1:10" ht="25.2" x14ac:dyDescent="0.2">
      <c r="A44" s="20">
        <v>45756</v>
      </c>
      <c r="B44" s="20" t="s">
        <v>24</v>
      </c>
      <c r="C44" s="25" t="s">
        <v>14</v>
      </c>
      <c r="D44" s="25" t="s">
        <v>15</v>
      </c>
      <c r="E44" s="25" t="s">
        <v>19</v>
      </c>
      <c r="F44" s="25" t="s">
        <v>17</v>
      </c>
      <c r="G44" s="26" t="s">
        <v>57</v>
      </c>
      <c r="H44" s="27">
        <f t="shared" si="1"/>
        <v>4.166666666666663E-2</v>
      </c>
      <c r="I44" s="28">
        <v>0.35416666666666669</v>
      </c>
      <c r="J44" s="28">
        <v>0.39583333333333331</v>
      </c>
    </row>
    <row r="45" spans="1:10" ht="100.8" x14ac:dyDescent="0.2">
      <c r="A45" s="20">
        <v>45756</v>
      </c>
      <c r="B45" s="20" t="s">
        <v>24</v>
      </c>
      <c r="C45" s="25" t="s">
        <v>14</v>
      </c>
      <c r="D45" s="25" t="s">
        <v>15</v>
      </c>
      <c r="E45" s="25" t="s">
        <v>16</v>
      </c>
      <c r="F45" s="25" t="s">
        <v>17</v>
      </c>
      <c r="G45" s="26" t="s">
        <v>58</v>
      </c>
      <c r="H45" s="27">
        <f t="shared" si="1"/>
        <v>2.430555555555558E-2</v>
      </c>
      <c r="I45" s="28">
        <v>0.39583333333333331</v>
      </c>
      <c r="J45" s="28">
        <v>0.4201388888888889</v>
      </c>
    </row>
    <row r="46" spans="1:10" ht="25.2" x14ac:dyDescent="0.2">
      <c r="A46" s="20">
        <v>45756</v>
      </c>
      <c r="B46" s="20" t="s">
        <v>24</v>
      </c>
      <c r="C46" s="25" t="s">
        <v>14</v>
      </c>
      <c r="D46" s="25" t="s">
        <v>15</v>
      </c>
      <c r="E46" s="25" t="s">
        <v>19</v>
      </c>
      <c r="F46" s="25" t="s">
        <v>17</v>
      </c>
      <c r="G46" s="26" t="s">
        <v>59</v>
      </c>
      <c r="H46" s="27">
        <f t="shared" si="1"/>
        <v>4.8611111111111105E-2</v>
      </c>
      <c r="I46" s="28">
        <v>0.4201388888888889</v>
      </c>
      <c r="J46" s="28">
        <v>0.46875</v>
      </c>
    </row>
    <row r="47" spans="1:10" ht="88.2" x14ac:dyDescent="0.2">
      <c r="A47" s="20">
        <v>45756</v>
      </c>
      <c r="B47" s="20" t="s">
        <v>24</v>
      </c>
      <c r="C47" s="25" t="s">
        <v>14</v>
      </c>
      <c r="D47" s="25" t="s">
        <v>15</v>
      </c>
      <c r="E47" s="25" t="s">
        <v>16</v>
      </c>
      <c r="F47" s="25" t="s">
        <v>17</v>
      </c>
      <c r="G47" s="26" t="s">
        <v>60</v>
      </c>
      <c r="H47" s="27">
        <f t="shared" si="1"/>
        <v>1.3888888888888895E-2</v>
      </c>
      <c r="I47" s="28">
        <v>0.46875</v>
      </c>
      <c r="J47" s="28">
        <v>0.4826388888888889</v>
      </c>
    </row>
    <row r="48" spans="1:10" ht="25.2" x14ac:dyDescent="0.2">
      <c r="A48" s="20">
        <v>45756</v>
      </c>
      <c r="B48" s="20" t="s">
        <v>24</v>
      </c>
      <c r="C48" s="25" t="s">
        <v>14</v>
      </c>
      <c r="D48" s="25" t="s">
        <v>15</v>
      </c>
      <c r="E48" s="25" t="s">
        <v>19</v>
      </c>
      <c r="F48" s="25" t="s">
        <v>17</v>
      </c>
      <c r="G48" s="26" t="s">
        <v>61</v>
      </c>
      <c r="H48" s="27">
        <f t="shared" si="1"/>
        <v>1.7361111111111105E-2</v>
      </c>
      <c r="I48" s="28">
        <v>0.4826388888888889</v>
      </c>
      <c r="J48" s="28">
        <v>0.5</v>
      </c>
    </row>
    <row r="49" spans="1:10" ht="75.599999999999994" x14ac:dyDescent="0.2">
      <c r="A49" s="20">
        <v>45756</v>
      </c>
      <c r="B49" s="20" t="s">
        <v>24</v>
      </c>
      <c r="C49" s="25" t="s">
        <v>14</v>
      </c>
      <c r="D49" s="25" t="s">
        <v>15</v>
      </c>
      <c r="E49" s="25" t="s">
        <v>19</v>
      </c>
      <c r="F49" s="25" t="s">
        <v>17</v>
      </c>
      <c r="G49" s="26" t="s">
        <v>62</v>
      </c>
      <c r="H49" s="27">
        <f t="shared" si="1"/>
        <v>0.125</v>
      </c>
      <c r="I49" s="28">
        <v>0.54166666666666663</v>
      </c>
      <c r="J49" s="28">
        <v>0.66666666666666663</v>
      </c>
    </row>
    <row r="50" spans="1:10" ht="63" x14ac:dyDescent="0.2">
      <c r="A50" s="20">
        <v>45756</v>
      </c>
      <c r="B50" s="20" t="s">
        <v>24</v>
      </c>
      <c r="C50" s="25" t="s">
        <v>14</v>
      </c>
      <c r="D50" s="25" t="s">
        <v>15</v>
      </c>
      <c r="E50" s="25" t="s">
        <v>16</v>
      </c>
      <c r="F50" s="25" t="s">
        <v>17</v>
      </c>
      <c r="G50" s="26" t="s">
        <v>63</v>
      </c>
      <c r="H50" s="27">
        <f t="shared" si="1"/>
        <v>7.6388888888888951E-2</v>
      </c>
      <c r="I50" s="28">
        <v>0.66666666666666663</v>
      </c>
      <c r="J50" s="28">
        <v>0.74305555555555558</v>
      </c>
    </row>
    <row r="51" spans="1:10" ht="37.799999999999997" x14ac:dyDescent="0.2">
      <c r="A51" s="20">
        <v>45757</v>
      </c>
      <c r="B51" s="20" t="s">
        <v>26</v>
      </c>
      <c r="C51" s="25" t="s">
        <v>14</v>
      </c>
      <c r="D51" s="25" t="s">
        <v>15</v>
      </c>
      <c r="E51" s="25" t="s">
        <v>16</v>
      </c>
      <c r="F51" s="25" t="s">
        <v>17</v>
      </c>
      <c r="G51" s="26" t="s">
        <v>64</v>
      </c>
      <c r="H51" s="27">
        <f t="shared" si="1"/>
        <v>1.3888888888888895E-2</v>
      </c>
      <c r="I51" s="28">
        <v>0.33333333333333331</v>
      </c>
      <c r="J51" s="28">
        <v>0.34722222222222221</v>
      </c>
    </row>
    <row r="52" spans="1:10" ht="88.2" x14ac:dyDescent="0.2">
      <c r="A52" s="20">
        <v>45757</v>
      </c>
      <c r="B52" s="20" t="s">
        <v>26</v>
      </c>
      <c r="C52" s="25" t="s">
        <v>14</v>
      </c>
      <c r="D52" s="25" t="s">
        <v>15</v>
      </c>
      <c r="E52" s="25" t="s">
        <v>19</v>
      </c>
      <c r="F52" s="25" t="s">
        <v>17</v>
      </c>
      <c r="G52" s="26" t="s">
        <v>65</v>
      </c>
      <c r="H52" s="27">
        <f t="shared" si="1"/>
        <v>0.1111111111111111</v>
      </c>
      <c r="I52" s="28">
        <v>0.34722222222222221</v>
      </c>
      <c r="J52" s="28">
        <v>0.45833333333333331</v>
      </c>
    </row>
    <row r="53" spans="1:10" ht="50.4" x14ac:dyDescent="0.2">
      <c r="A53" s="20">
        <v>45757</v>
      </c>
      <c r="B53" s="20" t="s">
        <v>26</v>
      </c>
      <c r="C53" s="25" t="s">
        <v>14</v>
      </c>
      <c r="D53" s="25" t="s">
        <v>15</v>
      </c>
      <c r="E53" s="25" t="s">
        <v>16</v>
      </c>
      <c r="F53" s="25" t="s">
        <v>17</v>
      </c>
      <c r="G53" s="26" t="s">
        <v>66</v>
      </c>
      <c r="H53" s="27">
        <f t="shared" si="1"/>
        <v>4.1666666666666685E-2</v>
      </c>
      <c r="I53" s="28">
        <v>0.45833333333333331</v>
      </c>
      <c r="J53" s="28">
        <v>0.5</v>
      </c>
    </row>
    <row r="54" spans="1:10" ht="50.4" x14ac:dyDescent="0.2">
      <c r="A54" s="20">
        <v>45757</v>
      </c>
      <c r="B54" s="20" t="s">
        <v>26</v>
      </c>
      <c r="C54" s="25" t="s">
        <v>14</v>
      </c>
      <c r="D54" s="25" t="s">
        <v>15</v>
      </c>
      <c r="E54" s="25" t="s">
        <v>19</v>
      </c>
      <c r="F54" s="25" t="s">
        <v>17</v>
      </c>
      <c r="G54" s="26" t="s">
        <v>67</v>
      </c>
      <c r="H54" s="27">
        <f t="shared" si="1"/>
        <v>4.1666666666666741E-2</v>
      </c>
      <c r="I54" s="28">
        <v>0.54166666666666663</v>
      </c>
      <c r="J54" s="28">
        <v>0.58333333333333337</v>
      </c>
    </row>
    <row r="55" spans="1:10" ht="126" x14ac:dyDescent="0.2">
      <c r="A55" s="20">
        <v>45757</v>
      </c>
      <c r="B55" s="20" t="s">
        <v>26</v>
      </c>
      <c r="C55" s="25" t="s">
        <v>14</v>
      </c>
      <c r="D55" s="25" t="s">
        <v>15</v>
      </c>
      <c r="E55" s="25" t="s">
        <v>16</v>
      </c>
      <c r="F55" s="25" t="s">
        <v>17</v>
      </c>
      <c r="G55" s="26" t="s">
        <v>68</v>
      </c>
      <c r="H55" s="27">
        <f t="shared" si="1"/>
        <v>2.0833333333333259E-2</v>
      </c>
      <c r="I55" s="28">
        <v>0.58333333333333337</v>
      </c>
      <c r="J55" s="28">
        <v>0.60416666666666663</v>
      </c>
    </row>
    <row r="56" spans="1:10" ht="75.599999999999994" x14ac:dyDescent="0.2">
      <c r="A56" s="20">
        <v>45757</v>
      </c>
      <c r="B56" s="20" t="s">
        <v>26</v>
      </c>
      <c r="C56" s="25" t="s">
        <v>14</v>
      </c>
      <c r="D56" s="25" t="s">
        <v>15</v>
      </c>
      <c r="E56" s="25" t="s">
        <v>19</v>
      </c>
      <c r="F56" s="25" t="s">
        <v>17</v>
      </c>
      <c r="G56" s="26" t="s">
        <v>69</v>
      </c>
      <c r="H56" s="27">
        <f t="shared" si="1"/>
        <v>6.25E-2</v>
      </c>
      <c r="I56" s="28">
        <v>0.60416666666666663</v>
      </c>
      <c r="J56" s="28">
        <v>0.66666666666666663</v>
      </c>
    </row>
    <row r="57" spans="1:10" ht="100.8" x14ac:dyDescent="0.2">
      <c r="A57" s="20">
        <v>45757</v>
      </c>
      <c r="B57" s="20" t="s">
        <v>26</v>
      </c>
      <c r="C57" s="25" t="s">
        <v>14</v>
      </c>
      <c r="D57" s="25" t="s">
        <v>15</v>
      </c>
      <c r="E57" s="25" t="s">
        <v>16</v>
      </c>
      <c r="F57" s="25" t="s">
        <v>17</v>
      </c>
      <c r="G57" s="26" t="s">
        <v>70</v>
      </c>
      <c r="H57" s="27">
        <f t="shared" si="1"/>
        <v>6.25E-2</v>
      </c>
      <c r="I57" s="28">
        <v>0.66666666666666663</v>
      </c>
      <c r="J57" s="28">
        <v>0.72916666666666663</v>
      </c>
    </row>
    <row r="58" spans="1:10" ht="50.4" x14ac:dyDescent="0.2">
      <c r="A58" s="20">
        <v>45758</v>
      </c>
      <c r="B58" s="20" t="s">
        <v>33</v>
      </c>
      <c r="C58" s="25" t="s">
        <v>14</v>
      </c>
      <c r="D58" s="25" t="s">
        <v>15</v>
      </c>
      <c r="E58" s="25" t="s">
        <v>16</v>
      </c>
      <c r="F58" s="25" t="s">
        <v>17</v>
      </c>
      <c r="G58" s="26" t="s">
        <v>71</v>
      </c>
      <c r="H58" s="27">
        <f t="shared" si="1"/>
        <v>3.4722222222222654E-3</v>
      </c>
      <c r="I58" s="28">
        <v>0.33333333333333331</v>
      </c>
      <c r="J58" s="28">
        <v>0.33680555555555558</v>
      </c>
    </row>
    <row r="59" spans="1:10" ht="37.799999999999997" x14ac:dyDescent="0.2">
      <c r="A59" s="20">
        <v>45758</v>
      </c>
      <c r="B59" s="20" t="s">
        <v>33</v>
      </c>
      <c r="C59" s="25" t="s">
        <v>14</v>
      </c>
      <c r="D59" s="25" t="s">
        <v>15</v>
      </c>
      <c r="E59" s="25" t="s">
        <v>19</v>
      </c>
      <c r="F59" s="25" t="s">
        <v>17</v>
      </c>
      <c r="G59" s="26" t="s">
        <v>72</v>
      </c>
      <c r="H59" s="27">
        <f t="shared" si="1"/>
        <v>0.12152777777777773</v>
      </c>
      <c r="I59" s="28">
        <v>0.33680555555555558</v>
      </c>
      <c r="J59" s="28">
        <v>0.45833333333333331</v>
      </c>
    </row>
    <row r="60" spans="1:10" ht="100.8" x14ac:dyDescent="0.2">
      <c r="A60" s="20">
        <v>45758</v>
      </c>
      <c r="B60" s="20" t="s">
        <v>33</v>
      </c>
      <c r="C60" s="25" t="s">
        <v>14</v>
      </c>
      <c r="D60" s="25" t="s">
        <v>15</v>
      </c>
      <c r="E60" s="25" t="s">
        <v>16</v>
      </c>
      <c r="F60" s="25" t="s">
        <v>17</v>
      </c>
      <c r="G60" s="26" t="s">
        <v>73</v>
      </c>
      <c r="H60" s="27">
        <f t="shared" si="1"/>
        <v>2.083333333333337E-2</v>
      </c>
      <c r="I60" s="28">
        <v>0.45833333333333331</v>
      </c>
      <c r="J60" s="28">
        <v>0.47916666666666669</v>
      </c>
    </row>
    <row r="61" spans="1:10" ht="75.599999999999994" x14ac:dyDescent="0.2">
      <c r="A61" s="20">
        <v>45758</v>
      </c>
      <c r="B61" s="20" t="s">
        <v>33</v>
      </c>
      <c r="C61" s="25" t="s">
        <v>14</v>
      </c>
      <c r="D61" s="25" t="s">
        <v>15</v>
      </c>
      <c r="E61" s="25" t="s">
        <v>16</v>
      </c>
      <c r="F61" s="25" t="s">
        <v>17</v>
      </c>
      <c r="G61" s="26" t="s">
        <v>74</v>
      </c>
      <c r="H61" s="27">
        <f t="shared" si="1"/>
        <v>2.0833333333333315E-2</v>
      </c>
      <c r="I61" s="28">
        <v>0.47916666666666669</v>
      </c>
      <c r="J61" s="28">
        <v>0.5</v>
      </c>
    </row>
    <row r="62" spans="1:10" ht="50.4" x14ac:dyDescent="0.2">
      <c r="A62" s="20">
        <v>45758</v>
      </c>
      <c r="B62" s="20" t="s">
        <v>33</v>
      </c>
      <c r="C62" s="25" t="s">
        <v>14</v>
      </c>
      <c r="D62" s="25" t="s">
        <v>15</v>
      </c>
      <c r="E62" s="25" t="s">
        <v>19</v>
      </c>
      <c r="F62" s="25" t="s">
        <v>17</v>
      </c>
      <c r="G62" s="26" t="s">
        <v>75</v>
      </c>
      <c r="H62" s="27">
        <f t="shared" si="1"/>
        <v>0.125</v>
      </c>
      <c r="I62" s="28">
        <v>0.54166666666666663</v>
      </c>
      <c r="J62" s="28">
        <v>0.66666666666666663</v>
      </c>
    </row>
    <row r="63" spans="1:10" ht="75.599999999999994" x14ac:dyDescent="0.2">
      <c r="A63" s="20">
        <v>45758</v>
      </c>
      <c r="B63" s="20" t="s">
        <v>33</v>
      </c>
      <c r="C63" s="25" t="s">
        <v>14</v>
      </c>
      <c r="D63" s="25" t="s">
        <v>15</v>
      </c>
      <c r="E63" s="25" t="s">
        <v>16</v>
      </c>
      <c r="F63" s="25" t="s">
        <v>17</v>
      </c>
      <c r="G63" s="26" t="s">
        <v>76</v>
      </c>
      <c r="H63" s="27">
        <f t="shared" si="1"/>
        <v>5.555555555555558E-2</v>
      </c>
      <c r="I63" s="28">
        <v>0.66666666666666663</v>
      </c>
      <c r="J63" s="28">
        <v>0.72222222222222221</v>
      </c>
    </row>
    <row r="64" spans="1:10" x14ac:dyDescent="0.2">
      <c r="A64" s="29">
        <v>45759</v>
      </c>
      <c r="B64" s="29" t="s">
        <v>42</v>
      </c>
      <c r="C64" s="30"/>
      <c r="D64" s="30"/>
      <c r="E64" s="30"/>
      <c r="F64" s="30"/>
      <c r="G64" s="31"/>
      <c r="H64" s="32">
        <f t="shared" si="1"/>
        <v>0</v>
      </c>
      <c r="I64" s="33"/>
      <c r="J64" s="33"/>
    </row>
    <row r="65" spans="1:10" x14ac:dyDescent="0.2">
      <c r="A65" s="29">
        <v>45760</v>
      </c>
      <c r="B65" s="29" t="s">
        <v>43</v>
      </c>
      <c r="C65" s="30"/>
      <c r="D65" s="30"/>
      <c r="E65" s="30"/>
      <c r="F65" s="30"/>
      <c r="G65" s="31"/>
      <c r="H65" s="32">
        <f t="shared" si="1"/>
        <v>0</v>
      </c>
      <c r="I65" s="33"/>
      <c r="J65" s="33"/>
    </row>
    <row r="66" spans="1:10" ht="37.799999999999997" x14ac:dyDescent="0.2">
      <c r="A66" s="20">
        <v>45761</v>
      </c>
      <c r="B66" s="20" t="s">
        <v>44</v>
      </c>
      <c r="C66" s="25" t="s">
        <v>14</v>
      </c>
      <c r="D66" s="25" t="s">
        <v>15</v>
      </c>
      <c r="E66" s="25" t="s">
        <v>16</v>
      </c>
      <c r="F66" s="25" t="s">
        <v>17</v>
      </c>
      <c r="G66" s="26" t="s">
        <v>77</v>
      </c>
      <c r="H66" s="27">
        <f t="shared" si="1"/>
        <v>3.125E-2</v>
      </c>
      <c r="I66" s="28">
        <v>0.33333333333333331</v>
      </c>
      <c r="J66" s="28">
        <v>0.36458333333333331</v>
      </c>
    </row>
    <row r="67" spans="1:10" ht="88.2" x14ac:dyDescent="0.2">
      <c r="A67" s="20">
        <v>45761</v>
      </c>
      <c r="B67" s="20" t="s">
        <v>44</v>
      </c>
      <c r="C67" s="25" t="s">
        <v>14</v>
      </c>
      <c r="D67" s="25" t="s">
        <v>15</v>
      </c>
      <c r="E67" s="25" t="s">
        <v>19</v>
      </c>
      <c r="F67" s="25" t="s">
        <v>17</v>
      </c>
      <c r="G67" s="26" t="s">
        <v>78</v>
      </c>
      <c r="H67" s="27">
        <f t="shared" si="1"/>
        <v>9.375E-2</v>
      </c>
      <c r="I67" s="28">
        <v>0.36458333333333331</v>
      </c>
      <c r="J67" s="28">
        <v>0.45833333333333331</v>
      </c>
    </row>
    <row r="68" spans="1:10" ht="50.4" x14ac:dyDescent="0.2">
      <c r="A68" s="20">
        <v>45761</v>
      </c>
      <c r="B68" s="20" t="s">
        <v>44</v>
      </c>
      <c r="C68" s="25" t="s">
        <v>14</v>
      </c>
      <c r="D68" s="25" t="s">
        <v>15</v>
      </c>
      <c r="E68" s="25" t="s">
        <v>16</v>
      </c>
      <c r="F68" s="25" t="s">
        <v>17</v>
      </c>
      <c r="G68" s="26" t="s">
        <v>79</v>
      </c>
      <c r="H68" s="27">
        <f t="shared" si="1"/>
        <v>4.1666666666666685E-2</v>
      </c>
      <c r="I68" s="28">
        <v>0.45833333333333331</v>
      </c>
      <c r="J68" s="28">
        <v>0.5</v>
      </c>
    </row>
    <row r="69" spans="1:10" ht="63" x14ac:dyDescent="0.2">
      <c r="A69" s="20">
        <v>45761</v>
      </c>
      <c r="B69" s="20" t="s">
        <v>44</v>
      </c>
      <c r="C69" s="25" t="s">
        <v>14</v>
      </c>
      <c r="D69" s="25" t="s">
        <v>15</v>
      </c>
      <c r="E69" s="25" t="s">
        <v>19</v>
      </c>
      <c r="F69" s="25" t="s">
        <v>17</v>
      </c>
      <c r="G69" s="26" t="s">
        <v>80</v>
      </c>
      <c r="H69" s="27">
        <f t="shared" si="1"/>
        <v>9.375E-2</v>
      </c>
      <c r="I69" s="28">
        <v>0.54166666666666663</v>
      </c>
      <c r="J69" s="28">
        <v>0.63541666666666663</v>
      </c>
    </row>
    <row r="70" spans="1:10" ht="88.2" x14ac:dyDescent="0.2">
      <c r="A70" s="20">
        <v>45761</v>
      </c>
      <c r="B70" s="20" t="s">
        <v>44</v>
      </c>
      <c r="C70" s="25" t="s">
        <v>14</v>
      </c>
      <c r="D70" s="25" t="s">
        <v>15</v>
      </c>
      <c r="E70" s="25" t="s">
        <v>16</v>
      </c>
      <c r="F70" s="25" t="s">
        <v>17</v>
      </c>
      <c r="G70" s="26" t="s">
        <v>81</v>
      </c>
      <c r="H70" s="27">
        <f t="shared" si="1"/>
        <v>3.125E-2</v>
      </c>
      <c r="I70" s="28">
        <v>0.63541666666666663</v>
      </c>
      <c r="J70" s="28">
        <v>0.66666666666666663</v>
      </c>
    </row>
    <row r="71" spans="1:10" ht="50.4" x14ac:dyDescent="0.2">
      <c r="A71" s="20">
        <v>45761</v>
      </c>
      <c r="B71" s="20" t="s">
        <v>44</v>
      </c>
      <c r="C71" s="25" t="s">
        <v>14</v>
      </c>
      <c r="D71" s="25" t="s">
        <v>15</v>
      </c>
      <c r="E71" s="25" t="s">
        <v>16</v>
      </c>
      <c r="F71" s="25" t="s">
        <v>17</v>
      </c>
      <c r="G71" s="26" t="s">
        <v>82</v>
      </c>
      <c r="H71" s="27">
        <f t="shared" si="1"/>
        <v>6.9444444444444531E-2</v>
      </c>
      <c r="I71" s="28">
        <v>0.66666666666666663</v>
      </c>
      <c r="J71" s="28">
        <v>0.73611111111111116</v>
      </c>
    </row>
    <row r="72" spans="1:10" ht="37.799999999999997" x14ac:dyDescent="0.2">
      <c r="A72" s="20">
        <v>45762</v>
      </c>
      <c r="B72" s="20" t="s">
        <v>13</v>
      </c>
      <c r="C72" s="25" t="s">
        <v>14</v>
      </c>
      <c r="D72" s="25" t="s">
        <v>15</v>
      </c>
      <c r="E72" s="25" t="s">
        <v>16</v>
      </c>
      <c r="F72" s="25" t="s">
        <v>17</v>
      </c>
      <c r="G72" s="26" t="s">
        <v>83</v>
      </c>
      <c r="H72" s="27">
        <f t="shared" si="1"/>
        <v>3.125E-2</v>
      </c>
      <c r="I72" s="28">
        <v>0.33333333333333331</v>
      </c>
      <c r="J72" s="28">
        <v>0.36458333333333331</v>
      </c>
    </row>
    <row r="73" spans="1:10" ht="37.799999999999997" x14ac:dyDescent="0.2">
      <c r="A73" s="20">
        <v>45762</v>
      </c>
      <c r="B73" s="20" t="s">
        <v>13</v>
      </c>
      <c r="C73" s="25" t="s">
        <v>14</v>
      </c>
      <c r="D73" s="25" t="s">
        <v>15</v>
      </c>
      <c r="E73" s="25" t="s">
        <v>19</v>
      </c>
      <c r="F73" s="25" t="s">
        <v>17</v>
      </c>
      <c r="G73" s="26" t="s">
        <v>84</v>
      </c>
      <c r="H73" s="27">
        <f t="shared" si="1"/>
        <v>0.1076388888888889</v>
      </c>
      <c r="I73" s="28">
        <v>0.36458333333333331</v>
      </c>
      <c r="J73" s="28">
        <v>0.47222222222222221</v>
      </c>
    </row>
    <row r="74" spans="1:10" ht="63" x14ac:dyDescent="0.2">
      <c r="A74" s="20">
        <v>45762</v>
      </c>
      <c r="B74" s="20" t="s">
        <v>13</v>
      </c>
      <c r="C74" s="25" t="s">
        <v>14</v>
      </c>
      <c r="D74" s="25" t="s">
        <v>15</v>
      </c>
      <c r="E74" s="25" t="s">
        <v>16</v>
      </c>
      <c r="F74" s="25" t="s">
        <v>17</v>
      </c>
      <c r="G74" s="26" t="s">
        <v>85</v>
      </c>
      <c r="H74" s="27">
        <f t="shared" si="1"/>
        <v>2.777777777777779E-2</v>
      </c>
      <c r="I74" s="28">
        <v>0.47222222222222221</v>
      </c>
      <c r="J74" s="28">
        <v>0.5</v>
      </c>
    </row>
    <row r="75" spans="1:10" ht="100.8" x14ac:dyDescent="0.2">
      <c r="A75" s="20">
        <v>45762</v>
      </c>
      <c r="B75" s="20" t="s">
        <v>13</v>
      </c>
      <c r="C75" s="25" t="s">
        <v>14</v>
      </c>
      <c r="D75" s="25" t="s">
        <v>15</v>
      </c>
      <c r="E75" s="25" t="s">
        <v>19</v>
      </c>
      <c r="F75" s="25" t="s">
        <v>17</v>
      </c>
      <c r="G75" s="26" t="s">
        <v>86</v>
      </c>
      <c r="H75" s="27">
        <f t="shared" si="1"/>
        <v>9.375E-2</v>
      </c>
      <c r="I75" s="28">
        <v>0.54166666666666663</v>
      </c>
      <c r="J75" s="28">
        <v>0.63541666666666663</v>
      </c>
    </row>
    <row r="76" spans="1:10" ht="50.4" x14ac:dyDescent="0.2">
      <c r="A76" s="20">
        <v>45762</v>
      </c>
      <c r="B76" s="20" t="s">
        <v>13</v>
      </c>
      <c r="C76" s="25" t="s">
        <v>14</v>
      </c>
      <c r="D76" s="25" t="s">
        <v>15</v>
      </c>
      <c r="E76" s="25" t="s">
        <v>16</v>
      </c>
      <c r="F76" s="25" t="s">
        <v>17</v>
      </c>
      <c r="G76" s="26" t="s">
        <v>87</v>
      </c>
      <c r="H76" s="27">
        <f t="shared" si="1"/>
        <v>3.125E-2</v>
      </c>
      <c r="I76" s="28">
        <v>0.63541666666666663</v>
      </c>
      <c r="J76" s="28">
        <v>0.66666666666666663</v>
      </c>
    </row>
    <row r="77" spans="1:10" ht="50.4" x14ac:dyDescent="0.2">
      <c r="A77" s="20">
        <v>45762</v>
      </c>
      <c r="B77" s="20" t="s">
        <v>13</v>
      </c>
      <c r="C77" s="25" t="s">
        <v>14</v>
      </c>
      <c r="D77" s="25" t="s">
        <v>15</v>
      </c>
      <c r="E77" s="25" t="s">
        <v>16</v>
      </c>
      <c r="F77" s="25" t="s">
        <v>17</v>
      </c>
      <c r="G77" s="26" t="s">
        <v>88</v>
      </c>
      <c r="H77" s="27">
        <f t="shared" si="1"/>
        <v>5.555555555555558E-2</v>
      </c>
      <c r="I77" s="28">
        <v>0.66666666666666663</v>
      </c>
      <c r="J77" s="28">
        <v>0.72222222222222221</v>
      </c>
    </row>
    <row r="78" spans="1:10" ht="63" x14ac:dyDescent="0.2">
      <c r="A78" s="20">
        <v>45762</v>
      </c>
      <c r="B78" s="20" t="s">
        <v>13</v>
      </c>
      <c r="C78" s="25" t="s">
        <v>14</v>
      </c>
      <c r="D78" s="25" t="s">
        <v>15</v>
      </c>
      <c r="E78" s="25" t="s">
        <v>16</v>
      </c>
      <c r="F78" s="25" t="s">
        <v>17</v>
      </c>
      <c r="G78" s="26" t="s">
        <v>89</v>
      </c>
      <c r="H78" s="27">
        <f t="shared" si="1"/>
        <v>6.597222222222221E-2</v>
      </c>
      <c r="I78" s="28">
        <v>0.72222222222222221</v>
      </c>
      <c r="J78" s="28">
        <v>0.78819444444444442</v>
      </c>
    </row>
    <row r="79" spans="1:10" ht="37.799999999999997" x14ac:dyDescent="0.2">
      <c r="A79" s="20">
        <v>45763</v>
      </c>
      <c r="B79" s="20" t="s">
        <v>24</v>
      </c>
      <c r="C79" s="25" t="s">
        <v>14</v>
      </c>
      <c r="D79" s="25" t="s">
        <v>15</v>
      </c>
      <c r="E79" s="25" t="s">
        <v>16</v>
      </c>
      <c r="F79" s="25" t="s">
        <v>17</v>
      </c>
      <c r="G79" s="26" t="s">
        <v>90</v>
      </c>
      <c r="H79" s="27">
        <f t="shared" si="1"/>
        <v>1.7361111111111105E-2</v>
      </c>
      <c r="I79" s="28">
        <v>0.33333333333333331</v>
      </c>
      <c r="J79" s="28">
        <v>0.35069444444444442</v>
      </c>
    </row>
    <row r="80" spans="1:10" ht="50.4" x14ac:dyDescent="0.2">
      <c r="A80" s="20">
        <v>45763</v>
      </c>
      <c r="B80" s="20" t="s">
        <v>24</v>
      </c>
      <c r="C80" s="25" t="s">
        <v>14</v>
      </c>
      <c r="D80" s="25" t="s">
        <v>15</v>
      </c>
      <c r="E80" s="25" t="s">
        <v>19</v>
      </c>
      <c r="F80" s="25" t="s">
        <v>17</v>
      </c>
      <c r="G80" s="26" t="s">
        <v>91</v>
      </c>
      <c r="H80" s="27">
        <f t="shared" si="1"/>
        <v>6.5972222222222265E-2</v>
      </c>
      <c r="I80" s="28">
        <v>0.35069444444444442</v>
      </c>
      <c r="J80" s="28">
        <v>0.41666666666666669</v>
      </c>
    </row>
    <row r="81" spans="1:10" ht="50.4" x14ac:dyDescent="0.2">
      <c r="A81" s="20">
        <v>45763</v>
      </c>
      <c r="B81" s="20" t="s">
        <v>24</v>
      </c>
      <c r="C81" s="25" t="s">
        <v>14</v>
      </c>
      <c r="D81" s="25" t="s">
        <v>15</v>
      </c>
      <c r="E81" s="25" t="s">
        <v>16</v>
      </c>
      <c r="F81" s="25" t="s">
        <v>17</v>
      </c>
      <c r="G81" s="26" t="s">
        <v>92</v>
      </c>
      <c r="H81" s="27">
        <f t="shared" si="1"/>
        <v>2.0833333333333315E-2</v>
      </c>
      <c r="I81" s="28">
        <v>0.41666666666666669</v>
      </c>
      <c r="J81" s="28">
        <v>0.4375</v>
      </c>
    </row>
    <row r="82" spans="1:10" ht="63" x14ac:dyDescent="0.2">
      <c r="A82" s="20">
        <v>45763</v>
      </c>
      <c r="B82" s="20" t="s">
        <v>24</v>
      </c>
      <c r="C82" s="25" t="s">
        <v>14</v>
      </c>
      <c r="D82" s="25" t="s">
        <v>15</v>
      </c>
      <c r="E82" s="25" t="s">
        <v>16</v>
      </c>
      <c r="F82" s="25" t="s">
        <v>17</v>
      </c>
      <c r="G82" s="26" t="s">
        <v>93</v>
      </c>
      <c r="H82" s="27">
        <f t="shared" si="1"/>
        <v>2.0833333333333315E-2</v>
      </c>
      <c r="I82" s="28">
        <v>0.4375</v>
      </c>
      <c r="J82" s="28">
        <v>0.45833333333333331</v>
      </c>
    </row>
    <row r="83" spans="1:10" ht="25.2" x14ac:dyDescent="0.2">
      <c r="A83" s="20">
        <v>45763</v>
      </c>
      <c r="B83" s="20" t="s">
        <v>24</v>
      </c>
      <c r="C83" s="25" t="s">
        <v>14</v>
      </c>
      <c r="D83" s="25" t="s">
        <v>15</v>
      </c>
      <c r="E83" s="25" t="s">
        <v>19</v>
      </c>
      <c r="F83" s="25" t="s">
        <v>17</v>
      </c>
      <c r="G83" s="26" t="s">
        <v>94</v>
      </c>
      <c r="H83" s="27">
        <f t="shared" si="1"/>
        <v>2.083333333333337E-2</v>
      </c>
      <c r="I83" s="28">
        <v>0.45833333333333331</v>
      </c>
      <c r="J83" s="28">
        <v>0.47916666666666669</v>
      </c>
    </row>
    <row r="84" spans="1:10" ht="37.799999999999997" x14ac:dyDescent="0.2">
      <c r="A84" s="20">
        <v>45763</v>
      </c>
      <c r="B84" s="20" t="s">
        <v>24</v>
      </c>
      <c r="C84" s="25" t="s">
        <v>14</v>
      </c>
      <c r="D84" s="25" t="s">
        <v>15</v>
      </c>
      <c r="E84" s="25" t="s">
        <v>19</v>
      </c>
      <c r="F84" s="25" t="s">
        <v>17</v>
      </c>
      <c r="G84" s="26" t="s">
        <v>95</v>
      </c>
      <c r="H84" s="27">
        <f t="shared" si="1"/>
        <v>2.0833333333333315E-2</v>
      </c>
      <c r="I84" s="28">
        <v>0.47916666666666669</v>
      </c>
      <c r="J84" s="28">
        <v>0.5</v>
      </c>
    </row>
    <row r="85" spans="1:10" ht="25.2" x14ac:dyDescent="0.2">
      <c r="A85" s="20">
        <v>45763</v>
      </c>
      <c r="B85" s="20" t="s">
        <v>24</v>
      </c>
      <c r="C85" s="25" t="s">
        <v>14</v>
      </c>
      <c r="D85" s="25" t="s">
        <v>15</v>
      </c>
      <c r="E85" s="25" t="s">
        <v>16</v>
      </c>
      <c r="F85" s="25" t="s">
        <v>17</v>
      </c>
      <c r="G85" s="26" t="s">
        <v>96</v>
      </c>
      <c r="H85" s="27">
        <f t="shared" si="1"/>
        <v>2.083333333333337E-2</v>
      </c>
      <c r="I85" s="28">
        <v>0.54166666666666663</v>
      </c>
      <c r="J85" s="28">
        <v>0.5625</v>
      </c>
    </row>
    <row r="86" spans="1:10" ht="37.799999999999997" x14ac:dyDescent="0.2">
      <c r="A86" s="20">
        <v>45763</v>
      </c>
      <c r="B86" s="20" t="s">
        <v>24</v>
      </c>
      <c r="C86" s="25" t="s">
        <v>14</v>
      </c>
      <c r="D86" s="25" t="s">
        <v>15</v>
      </c>
      <c r="E86" s="25" t="s">
        <v>19</v>
      </c>
      <c r="F86" s="25" t="s">
        <v>17</v>
      </c>
      <c r="G86" s="26" t="s">
        <v>97</v>
      </c>
      <c r="H86" s="27">
        <f t="shared" si="1"/>
        <v>2.083333333333337E-2</v>
      </c>
      <c r="I86" s="28">
        <v>0.5625</v>
      </c>
      <c r="J86" s="28">
        <v>0.58333333333333337</v>
      </c>
    </row>
    <row r="87" spans="1:10" ht="75.599999999999994" x14ac:dyDescent="0.2">
      <c r="A87" s="20">
        <v>45763</v>
      </c>
      <c r="B87" s="20" t="s">
        <v>24</v>
      </c>
      <c r="C87" s="25" t="s">
        <v>14</v>
      </c>
      <c r="D87" s="25" t="s">
        <v>15</v>
      </c>
      <c r="E87" s="25" t="s">
        <v>16</v>
      </c>
      <c r="F87" s="25" t="s">
        <v>17</v>
      </c>
      <c r="G87" s="26" t="s">
        <v>98</v>
      </c>
      <c r="H87" s="27">
        <f t="shared" si="1"/>
        <v>8.3333333333333259E-2</v>
      </c>
      <c r="I87" s="28">
        <v>0.58333333333333337</v>
      </c>
      <c r="J87" s="28">
        <v>0.66666666666666663</v>
      </c>
    </row>
    <row r="88" spans="1:10" ht="63" x14ac:dyDescent="0.2">
      <c r="A88" s="20">
        <v>45763</v>
      </c>
      <c r="B88" s="20" t="s">
        <v>24</v>
      </c>
      <c r="C88" s="25" t="s">
        <v>14</v>
      </c>
      <c r="D88" s="25" t="s">
        <v>15</v>
      </c>
      <c r="E88" s="25" t="s">
        <v>16</v>
      </c>
      <c r="F88" s="25" t="s">
        <v>17</v>
      </c>
      <c r="G88" s="26" t="s">
        <v>99</v>
      </c>
      <c r="H88" s="27">
        <f t="shared" si="1"/>
        <v>5.902777777777779E-2</v>
      </c>
      <c r="I88" s="28">
        <v>0.66666666666666663</v>
      </c>
      <c r="J88" s="28">
        <v>0.72569444444444442</v>
      </c>
    </row>
    <row r="89" spans="1:10" ht="50.4" x14ac:dyDescent="0.2">
      <c r="A89" s="20">
        <v>45764</v>
      </c>
      <c r="B89" s="20" t="s">
        <v>26</v>
      </c>
      <c r="C89" s="25" t="s">
        <v>14</v>
      </c>
      <c r="D89" s="25" t="s">
        <v>15</v>
      </c>
      <c r="E89" s="25" t="s">
        <v>16</v>
      </c>
      <c r="F89" s="25" t="s">
        <v>17</v>
      </c>
      <c r="G89" s="26" t="s">
        <v>100</v>
      </c>
      <c r="H89" s="27">
        <f t="shared" si="1"/>
        <v>1.3888888888888895E-2</v>
      </c>
      <c r="I89" s="28">
        <v>0.33333333333333331</v>
      </c>
      <c r="J89" s="28">
        <v>0.34722222222222221</v>
      </c>
    </row>
    <row r="90" spans="1:10" ht="37.799999999999997" x14ac:dyDescent="0.2">
      <c r="A90" s="20">
        <v>45764</v>
      </c>
      <c r="B90" s="20" t="s">
        <v>26</v>
      </c>
      <c r="C90" s="25" t="s">
        <v>14</v>
      </c>
      <c r="D90" s="25" t="s">
        <v>15</v>
      </c>
      <c r="E90" s="25" t="s">
        <v>19</v>
      </c>
      <c r="F90" s="25" t="s">
        <v>17</v>
      </c>
      <c r="G90" s="26" t="s">
        <v>101</v>
      </c>
      <c r="H90" s="27">
        <f t="shared" si="1"/>
        <v>3.8194444444444475E-2</v>
      </c>
      <c r="I90" s="28">
        <v>0.34722222222222221</v>
      </c>
      <c r="J90" s="28">
        <v>0.38541666666666669</v>
      </c>
    </row>
    <row r="91" spans="1:10" ht="25.2" x14ac:dyDescent="0.2">
      <c r="A91" s="20">
        <v>45764</v>
      </c>
      <c r="B91" s="20" t="s">
        <v>26</v>
      </c>
      <c r="C91" s="25" t="s">
        <v>14</v>
      </c>
      <c r="D91" s="25" t="s">
        <v>15</v>
      </c>
      <c r="E91" s="25" t="s">
        <v>16</v>
      </c>
      <c r="F91" s="25" t="s">
        <v>17</v>
      </c>
      <c r="G91" s="26" t="s">
        <v>102</v>
      </c>
      <c r="H91" s="27">
        <f t="shared" si="1"/>
        <v>1.041666666666663E-2</v>
      </c>
      <c r="I91" s="28">
        <v>0.38541666666666669</v>
      </c>
      <c r="J91" s="28">
        <v>0.39583333333333331</v>
      </c>
    </row>
    <row r="92" spans="1:10" ht="75.599999999999994" x14ac:dyDescent="0.2">
      <c r="A92" s="20">
        <v>45764</v>
      </c>
      <c r="B92" s="20" t="s">
        <v>26</v>
      </c>
      <c r="C92" s="25" t="s">
        <v>14</v>
      </c>
      <c r="D92" s="25" t="s">
        <v>15</v>
      </c>
      <c r="E92" s="25" t="s">
        <v>19</v>
      </c>
      <c r="F92" s="25" t="s">
        <v>17</v>
      </c>
      <c r="G92" s="26" t="s">
        <v>103</v>
      </c>
      <c r="H92" s="27">
        <f t="shared" si="1"/>
        <v>0.10416666666666669</v>
      </c>
      <c r="I92" s="28">
        <v>0.39583333333333331</v>
      </c>
      <c r="J92" s="28">
        <v>0.5</v>
      </c>
    </row>
    <row r="93" spans="1:10" ht="50.4" x14ac:dyDescent="0.2">
      <c r="A93" s="20">
        <v>45764</v>
      </c>
      <c r="B93" s="20" t="s">
        <v>26</v>
      </c>
      <c r="C93" s="25" t="s">
        <v>14</v>
      </c>
      <c r="D93" s="25" t="s">
        <v>15</v>
      </c>
      <c r="E93" s="25" t="s">
        <v>16</v>
      </c>
      <c r="F93" s="25" t="s">
        <v>17</v>
      </c>
      <c r="G93" s="26" t="s">
        <v>104</v>
      </c>
      <c r="H93" s="27">
        <f t="shared" si="1"/>
        <v>0.10416666666666674</v>
      </c>
      <c r="I93" s="28">
        <v>0.54166666666666663</v>
      </c>
      <c r="J93" s="28">
        <v>0.64583333333333337</v>
      </c>
    </row>
    <row r="94" spans="1:10" ht="50.4" x14ac:dyDescent="0.2">
      <c r="A94" s="20">
        <v>45764</v>
      </c>
      <c r="B94" s="20" t="s">
        <v>26</v>
      </c>
      <c r="C94" s="25" t="s">
        <v>14</v>
      </c>
      <c r="D94" s="25" t="s">
        <v>15</v>
      </c>
      <c r="E94" s="25" t="s">
        <v>16</v>
      </c>
      <c r="F94" s="25" t="s">
        <v>17</v>
      </c>
      <c r="G94" s="26" t="s">
        <v>105</v>
      </c>
      <c r="H94" s="27">
        <f t="shared" si="1"/>
        <v>2.0833333333333259E-2</v>
      </c>
      <c r="I94" s="28">
        <v>0.64583333333333337</v>
      </c>
      <c r="J94" s="28">
        <v>0.66666666666666663</v>
      </c>
    </row>
    <row r="95" spans="1:10" ht="50.4" x14ac:dyDescent="0.2">
      <c r="A95" s="20">
        <v>45764</v>
      </c>
      <c r="B95" s="20" t="s">
        <v>26</v>
      </c>
      <c r="C95" s="25" t="s">
        <v>14</v>
      </c>
      <c r="D95" s="25" t="s">
        <v>15</v>
      </c>
      <c r="E95" s="25" t="s">
        <v>16</v>
      </c>
      <c r="F95" s="25" t="s">
        <v>17</v>
      </c>
      <c r="G95" s="26" t="s">
        <v>106</v>
      </c>
      <c r="H95" s="27">
        <f t="shared" si="1"/>
        <v>2.083333333333337E-2</v>
      </c>
      <c r="I95" s="28">
        <v>0.66666666666666663</v>
      </c>
      <c r="J95" s="28">
        <v>0.6875</v>
      </c>
    </row>
    <row r="96" spans="1:10" x14ac:dyDescent="0.2">
      <c r="A96" s="43">
        <v>45765</v>
      </c>
      <c r="B96" s="43" t="s">
        <v>33</v>
      </c>
      <c r="C96" s="44" t="s">
        <v>14</v>
      </c>
      <c r="D96" s="44"/>
      <c r="E96" s="44" t="s">
        <v>107</v>
      </c>
      <c r="F96" s="44" t="s">
        <v>17</v>
      </c>
      <c r="G96" s="45" t="s">
        <v>108</v>
      </c>
      <c r="H96" s="46">
        <f t="shared" si="1"/>
        <v>0.33333333333333331</v>
      </c>
      <c r="I96" s="47">
        <v>0.33333333333333331</v>
      </c>
      <c r="J96" s="47">
        <v>0.66666666666666663</v>
      </c>
    </row>
    <row r="97" spans="1:10" x14ac:dyDescent="0.2">
      <c r="A97" s="29">
        <v>45766</v>
      </c>
      <c r="B97" s="29" t="s">
        <v>42</v>
      </c>
      <c r="C97" s="30"/>
      <c r="D97" s="30"/>
      <c r="E97" s="30"/>
      <c r="F97" s="30"/>
      <c r="G97" s="31"/>
      <c r="H97" s="32">
        <f t="shared" si="1"/>
        <v>0</v>
      </c>
      <c r="I97" s="33"/>
      <c r="J97" s="33"/>
    </row>
    <row r="98" spans="1:10" x14ac:dyDescent="0.2">
      <c r="A98" s="29">
        <v>45767</v>
      </c>
      <c r="B98" s="29" t="s">
        <v>43</v>
      </c>
      <c r="C98" s="30"/>
      <c r="D98" s="30"/>
      <c r="E98" s="30"/>
      <c r="F98" s="30"/>
      <c r="G98" s="31"/>
      <c r="H98" s="32">
        <f t="shared" si="1"/>
        <v>0</v>
      </c>
      <c r="I98" s="33"/>
      <c r="J98" s="33"/>
    </row>
    <row r="99" spans="1:10" x14ac:dyDescent="0.2">
      <c r="A99" s="43">
        <v>45768</v>
      </c>
      <c r="B99" s="43" t="s">
        <v>44</v>
      </c>
      <c r="C99" s="44" t="s">
        <v>14</v>
      </c>
      <c r="D99" s="44"/>
      <c r="E99" s="44" t="s">
        <v>107</v>
      </c>
      <c r="F99" s="44" t="s">
        <v>17</v>
      </c>
      <c r="G99" s="45" t="s">
        <v>109</v>
      </c>
      <c r="H99" s="46">
        <f t="shared" si="1"/>
        <v>0.33333333333333331</v>
      </c>
      <c r="I99" s="47">
        <v>0.33333333333333331</v>
      </c>
      <c r="J99" s="47">
        <v>0.66666666666666663</v>
      </c>
    </row>
    <row r="100" spans="1:10" ht="63" x14ac:dyDescent="0.2">
      <c r="A100" s="20">
        <v>45769</v>
      </c>
      <c r="B100" s="20" t="s">
        <v>13</v>
      </c>
      <c r="C100" s="116" t="s">
        <v>14</v>
      </c>
      <c r="D100" s="25" t="s">
        <v>15</v>
      </c>
      <c r="E100" s="25" t="s">
        <v>16</v>
      </c>
      <c r="F100" s="25" t="s">
        <v>17</v>
      </c>
      <c r="G100" s="26" t="s">
        <v>110</v>
      </c>
      <c r="H100" s="27">
        <f t="shared" si="1"/>
        <v>2.430555555555558E-2</v>
      </c>
      <c r="I100" s="28">
        <v>0.33333333333333331</v>
      </c>
      <c r="J100" s="28">
        <v>0.3576388888888889</v>
      </c>
    </row>
    <row r="101" spans="1:10" ht="37.799999999999997" x14ac:dyDescent="0.2">
      <c r="A101" s="20">
        <v>45769</v>
      </c>
      <c r="B101" s="20" t="s">
        <v>13</v>
      </c>
      <c r="C101" s="116" t="s">
        <v>14</v>
      </c>
      <c r="D101" s="25" t="s">
        <v>15</v>
      </c>
      <c r="E101" s="25" t="s">
        <v>19</v>
      </c>
      <c r="F101" s="25" t="s">
        <v>17</v>
      </c>
      <c r="G101" s="26" t="s">
        <v>111</v>
      </c>
      <c r="H101" s="27">
        <f t="shared" si="1"/>
        <v>7.9861111111111105E-2</v>
      </c>
      <c r="I101" s="28">
        <v>0.3576388888888889</v>
      </c>
      <c r="J101" s="28">
        <v>0.4375</v>
      </c>
    </row>
    <row r="102" spans="1:10" ht="50.4" x14ac:dyDescent="0.2">
      <c r="A102" s="20">
        <v>45769</v>
      </c>
      <c r="B102" s="20" t="s">
        <v>13</v>
      </c>
      <c r="C102" s="116" t="s">
        <v>14</v>
      </c>
      <c r="D102" s="25" t="s">
        <v>15</v>
      </c>
      <c r="E102" s="25" t="s">
        <v>16</v>
      </c>
      <c r="F102" s="25" t="s">
        <v>17</v>
      </c>
      <c r="G102" s="26" t="s">
        <v>112</v>
      </c>
      <c r="H102" s="27">
        <f t="shared" si="1"/>
        <v>2.0833333333333315E-2</v>
      </c>
      <c r="I102" s="28">
        <v>0.4375</v>
      </c>
      <c r="J102" s="28">
        <v>0.45833333333333331</v>
      </c>
    </row>
    <row r="103" spans="1:10" ht="88.2" x14ac:dyDescent="0.2">
      <c r="A103" s="20">
        <v>45769</v>
      </c>
      <c r="B103" s="20" t="s">
        <v>13</v>
      </c>
      <c r="C103" s="116" t="s">
        <v>14</v>
      </c>
      <c r="D103" s="25" t="s">
        <v>15</v>
      </c>
      <c r="E103" s="25" t="s">
        <v>16</v>
      </c>
      <c r="F103" s="25" t="s">
        <v>17</v>
      </c>
      <c r="G103" s="26" t="s">
        <v>113</v>
      </c>
      <c r="H103" s="27">
        <f t="shared" si="1"/>
        <v>4.1666666666666685E-2</v>
      </c>
      <c r="I103" s="28">
        <v>0.45833333333333331</v>
      </c>
      <c r="J103" s="28">
        <v>0.5</v>
      </c>
    </row>
    <row r="104" spans="1:10" ht="25.2" x14ac:dyDescent="0.2">
      <c r="A104" s="20">
        <v>45769</v>
      </c>
      <c r="B104" s="20" t="s">
        <v>13</v>
      </c>
      <c r="C104" s="116" t="s">
        <v>14</v>
      </c>
      <c r="D104" s="25" t="s">
        <v>15</v>
      </c>
      <c r="E104" s="25" t="s">
        <v>19</v>
      </c>
      <c r="F104" s="25" t="s">
        <v>17</v>
      </c>
      <c r="G104" s="26" t="s">
        <v>114</v>
      </c>
      <c r="H104" s="27">
        <f t="shared" si="1"/>
        <v>0.125</v>
      </c>
      <c r="I104" s="28">
        <v>0.54166666666666663</v>
      </c>
      <c r="J104" s="28">
        <v>0.66666666666666663</v>
      </c>
    </row>
    <row r="105" spans="1:10" ht="50.4" x14ac:dyDescent="0.2">
      <c r="A105" s="20">
        <v>45769</v>
      </c>
      <c r="B105" s="20" t="s">
        <v>13</v>
      </c>
      <c r="C105" s="116" t="s">
        <v>14</v>
      </c>
      <c r="D105" s="25" t="s">
        <v>15</v>
      </c>
      <c r="E105" s="25" t="s">
        <v>16</v>
      </c>
      <c r="F105" s="25" t="s">
        <v>17</v>
      </c>
      <c r="G105" s="26" t="s">
        <v>115</v>
      </c>
      <c r="H105" s="27">
        <f t="shared" si="1"/>
        <v>5.555555555555558E-2</v>
      </c>
      <c r="I105" s="28">
        <v>0.66666666666666663</v>
      </c>
      <c r="J105" s="28">
        <v>0.72222222222222221</v>
      </c>
    </row>
    <row r="106" spans="1:10" ht="50.4" x14ac:dyDescent="0.2">
      <c r="A106" s="20">
        <v>45770</v>
      </c>
      <c r="B106" s="20" t="s">
        <v>24</v>
      </c>
      <c r="C106" s="116" t="s">
        <v>14</v>
      </c>
      <c r="D106" s="25" t="s">
        <v>15</v>
      </c>
      <c r="E106" s="25" t="s">
        <v>16</v>
      </c>
      <c r="F106" s="25" t="s">
        <v>17</v>
      </c>
      <c r="G106" s="26" t="s">
        <v>116</v>
      </c>
      <c r="H106" s="27">
        <f t="shared" si="1"/>
        <v>1.3888888888888895E-2</v>
      </c>
      <c r="I106" s="28">
        <v>0.33333333333333331</v>
      </c>
      <c r="J106" s="28">
        <v>0.34722222222222221</v>
      </c>
    </row>
    <row r="107" spans="1:10" ht="37.799999999999997" x14ac:dyDescent="0.2">
      <c r="A107" s="20">
        <v>45770</v>
      </c>
      <c r="B107" s="20" t="s">
        <v>24</v>
      </c>
      <c r="C107" s="116" t="s">
        <v>14</v>
      </c>
      <c r="D107" s="25" t="s">
        <v>15</v>
      </c>
      <c r="E107" s="25" t="s">
        <v>16</v>
      </c>
      <c r="F107" s="25" t="s">
        <v>17</v>
      </c>
      <c r="G107" s="26" t="s">
        <v>117</v>
      </c>
      <c r="H107" s="27">
        <f t="shared" si="1"/>
        <v>2.777777777777779E-2</v>
      </c>
      <c r="I107" s="28">
        <v>0.34722222222222221</v>
      </c>
      <c r="J107" s="28">
        <v>0.375</v>
      </c>
    </row>
    <row r="108" spans="1:10" ht="37.799999999999997" x14ac:dyDescent="0.2">
      <c r="A108" s="20">
        <v>45770</v>
      </c>
      <c r="B108" s="20" t="s">
        <v>24</v>
      </c>
      <c r="C108" s="116" t="s">
        <v>14</v>
      </c>
      <c r="D108" s="25" t="s">
        <v>15</v>
      </c>
      <c r="E108" s="25" t="s">
        <v>19</v>
      </c>
      <c r="F108" s="25" t="s">
        <v>17</v>
      </c>
      <c r="G108" s="26" t="s">
        <v>118</v>
      </c>
      <c r="H108" s="27">
        <f t="shared" si="1"/>
        <v>6.25E-2</v>
      </c>
      <c r="I108" s="28">
        <v>0.375</v>
      </c>
      <c r="J108" s="28">
        <v>0.4375</v>
      </c>
    </row>
    <row r="109" spans="1:10" ht="75.599999999999994" x14ac:dyDescent="0.2">
      <c r="A109" s="20">
        <v>45770</v>
      </c>
      <c r="B109" s="20" t="s">
        <v>24</v>
      </c>
      <c r="C109" s="116" t="s">
        <v>14</v>
      </c>
      <c r="D109" s="25" t="s">
        <v>15</v>
      </c>
      <c r="E109" s="25" t="s">
        <v>16</v>
      </c>
      <c r="F109" s="25" t="s">
        <v>17</v>
      </c>
      <c r="G109" s="26" t="s">
        <v>119</v>
      </c>
      <c r="H109" s="27">
        <f t="shared" si="1"/>
        <v>0.10416666666666663</v>
      </c>
      <c r="I109" s="28">
        <v>0.4375</v>
      </c>
      <c r="J109" s="28">
        <v>0.54166666666666663</v>
      </c>
    </row>
    <row r="110" spans="1:10" ht="37.799999999999997" x14ac:dyDescent="0.2">
      <c r="A110" s="20">
        <v>45770</v>
      </c>
      <c r="B110" s="20" t="s">
        <v>24</v>
      </c>
      <c r="C110" s="116" t="s">
        <v>14</v>
      </c>
      <c r="D110" s="25" t="s">
        <v>15</v>
      </c>
      <c r="E110" s="25" t="s">
        <v>19</v>
      </c>
      <c r="F110" s="25" t="s">
        <v>17</v>
      </c>
      <c r="G110" s="26" t="s">
        <v>120</v>
      </c>
      <c r="H110" s="27">
        <f t="shared" si="1"/>
        <v>8.3333333333333259E-2</v>
      </c>
      <c r="I110" s="28">
        <v>0.58333333333333337</v>
      </c>
      <c r="J110" s="28">
        <v>0.66666666666666663</v>
      </c>
    </row>
    <row r="111" spans="1:10" ht="37.799999999999997" x14ac:dyDescent="0.2">
      <c r="A111" s="20">
        <v>45770</v>
      </c>
      <c r="B111" s="20" t="s">
        <v>24</v>
      </c>
      <c r="C111" s="116" t="s">
        <v>14</v>
      </c>
      <c r="D111" s="25" t="s">
        <v>15</v>
      </c>
      <c r="E111" s="25" t="s">
        <v>16</v>
      </c>
      <c r="F111" s="25" t="s">
        <v>17</v>
      </c>
      <c r="G111" s="26" t="s">
        <v>121</v>
      </c>
      <c r="H111" s="27">
        <f t="shared" si="1"/>
        <v>6.9444444444445308E-3</v>
      </c>
      <c r="I111" s="28">
        <v>0.66666666666666663</v>
      </c>
      <c r="J111" s="28">
        <v>0.67361111111111116</v>
      </c>
    </row>
    <row r="112" spans="1:10" ht="25.2" x14ac:dyDescent="0.2">
      <c r="A112" s="20">
        <v>45770</v>
      </c>
      <c r="B112" s="20" t="s">
        <v>24</v>
      </c>
      <c r="C112" s="116" t="s">
        <v>14</v>
      </c>
      <c r="D112" s="25" t="s">
        <v>15</v>
      </c>
      <c r="E112" s="25" t="s">
        <v>19</v>
      </c>
      <c r="F112" s="25" t="s">
        <v>17</v>
      </c>
      <c r="G112" s="26" t="s">
        <v>122</v>
      </c>
      <c r="H112" s="27">
        <f t="shared" si="1"/>
        <v>3.472222222222221E-2</v>
      </c>
      <c r="I112" s="28">
        <v>0.67361111111111116</v>
      </c>
      <c r="J112" s="28">
        <v>0.70833333333333337</v>
      </c>
    </row>
    <row r="113" spans="1:10" ht="37.799999999999997" x14ac:dyDescent="0.2">
      <c r="A113" s="20">
        <v>45771</v>
      </c>
      <c r="B113" s="20" t="s">
        <v>26</v>
      </c>
      <c r="C113" s="116" t="s">
        <v>14</v>
      </c>
      <c r="D113" s="25" t="s">
        <v>15</v>
      </c>
      <c r="E113" s="25" t="s">
        <v>16</v>
      </c>
      <c r="F113" s="25" t="s">
        <v>17</v>
      </c>
      <c r="G113" s="26" t="s">
        <v>123</v>
      </c>
      <c r="H113" s="27">
        <f t="shared" si="1"/>
        <v>6.9444444444444753E-3</v>
      </c>
      <c r="I113" s="28">
        <v>0.33333333333333331</v>
      </c>
      <c r="J113" s="28">
        <v>0.34027777777777779</v>
      </c>
    </row>
    <row r="114" spans="1:10" ht="75.599999999999994" x14ac:dyDescent="0.2">
      <c r="A114" s="20">
        <v>45771</v>
      </c>
      <c r="B114" s="20" t="s">
        <v>26</v>
      </c>
      <c r="C114" s="116" t="s">
        <v>14</v>
      </c>
      <c r="D114" s="25" t="s">
        <v>15</v>
      </c>
      <c r="E114" s="25" t="s">
        <v>19</v>
      </c>
      <c r="F114" s="25" t="s">
        <v>17</v>
      </c>
      <c r="G114" s="26" t="s">
        <v>124</v>
      </c>
      <c r="H114" s="27">
        <f t="shared" si="1"/>
        <v>0.11805555555555552</v>
      </c>
      <c r="I114" s="28">
        <v>0.34027777777777779</v>
      </c>
      <c r="J114" s="28">
        <v>0.45833333333333331</v>
      </c>
    </row>
    <row r="115" spans="1:10" ht="50.4" x14ac:dyDescent="0.2">
      <c r="A115" s="20">
        <v>45771</v>
      </c>
      <c r="B115" s="20" t="s">
        <v>26</v>
      </c>
      <c r="C115" s="116" t="s">
        <v>14</v>
      </c>
      <c r="D115" s="25" t="s">
        <v>15</v>
      </c>
      <c r="E115" s="25" t="s">
        <v>16</v>
      </c>
      <c r="F115" s="25" t="s">
        <v>17</v>
      </c>
      <c r="G115" s="26" t="s">
        <v>125</v>
      </c>
      <c r="H115" s="27">
        <f t="shared" si="1"/>
        <v>4.8611111111111105E-2</v>
      </c>
      <c r="I115" s="28">
        <v>0.45833333333333331</v>
      </c>
      <c r="J115" s="28">
        <v>0.50694444444444442</v>
      </c>
    </row>
    <row r="116" spans="1:10" ht="75.599999999999994" x14ac:dyDescent="0.2">
      <c r="A116" s="20">
        <v>45771</v>
      </c>
      <c r="B116" s="20" t="s">
        <v>26</v>
      </c>
      <c r="C116" s="116" t="s">
        <v>14</v>
      </c>
      <c r="D116" s="25" t="s">
        <v>15</v>
      </c>
      <c r="E116" s="25" t="s">
        <v>19</v>
      </c>
      <c r="F116" s="25" t="s">
        <v>17</v>
      </c>
      <c r="G116" s="26" t="s">
        <v>126</v>
      </c>
      <c r="H116" s="27">
        <f t="shared" si="1"/>
        <v>0.125</v>
      </c>
      <c r="I116" s="28">
        <v>0.54166666666666663</v>
      </c>
      <c r="J116" s="28">
        <v>0.66666666666666663</v>
      </c>
    </row>
    <row r="117" spans="1:10" ht="100.8" x14ac:dyDescent="0.2">
      <c r="A117" s="20">
        <v>45771</v>
      </c>
      <c r="B117" s="20" t="s">
        <v>26</v>
      </c>
      <c r="C117" s="116" t="s">
        <v>14</v>
      </c>
      <c r="D117" s="25" t="s">
        <v>15</v>
      </c>
      <c r="E117" s="25" t="s">
        <v>16</v>
      </c>
      <c r="F117" s="25" t="s">
        <v>17</v>
      </c>
      <c r="G117" s="26" t="s">
        <v>127</v>
      </c>
      <c r="H117" s="27">
        <f t="shared" si="1"/>
        <v>9.722222222222221E-2</v>
      </c>
      <c r="I117" s="28">
        <v>0.66666666666666663</v>
      </c>
      <c r="J117" s="28">
        <v>0.76388888888888884</v>
      </c>
    </row>
    <row r="118" spans="1:10" ht="37.799999999999997" x14ac:dyDescent="0.2">
      <c r="A118" s="20">
        <v>45772</v>
      </c>
      <c r="B118" s="20" t="s">
        <v>33</v>
      </c>
      <c r="C118" s="116" t="s">
        <v>14</v>
      </c>
      <c r="D118" s="25" t="s">
        <v>15</v>
      </c>
      <c r="E118" s="25" t="s">
        <v>16</v>
      </c>
      <c r="F118" s="25" t="s">
        <v>17</v>
      </c>
      <c r="G118" s="26" t="s">
        <v>128</v>
      </c>
      <c r="H118" s="27">
        <f t="shared" si="1"/>
        <v>1.0416666666666685E-2</v>
      </c>
      <c r="I118" s="28">
        <v>0.33333333333333331</v>
      </c>
      <c r="J118" s="28">
        <v>0.34375</v>
      </c>
    </row>
    <row r="119" spans="1:10" ht="88.2" x14ac:dyDescent="0.2">
      <c r="A119" s="20">
        <v>45772</v>
      </c>
      <c r="B119" s="20" t="s">
        <v>33</v>
      </c>
      <c r="C119" s="116" t="s">
        <v>14</v>
      </c>
      <c r="D119" s="25" t="s">
        <v>15</v>
      </c>
      <c r="E119" s="25" t="s">
        <v>19</v>
      </c>
      <c r="F119" s="25" t="s">
        <v>17</v>
      </c>
      <c r="G119" s="26" t="s">
        <v>129</v>
      </c>
      <c r="H119" s="27">
        <f t="shared" si="1"/>
        <v>0.11458333333333331</v>
      </c>
      <c r="I119" s="28">
        <v>0.34375</v>
      </c>
      <c r="J119" s="28">
        <v>0.45833333333333331</v>
      </c>
    </row>
    <row r="120" spans="1:10" ht="37.799999999999997" x14ac:dyDescent="0.2">
      <c r="A120" s="20">
        <v>45772</v>
      </c>
      <c r="B120" s="20" t="s">
        <v>33</v>
      </c>
      <c r="C120" s="116" t="s">
        <v>14</v>
      </c>
      <c r="D120" s="25" t="s">
        <v>15</v>
      </c>
      <c r="E120" s="25" t="s">
        <v>16</v>
      </c>
      <c r="F120" s="25" t="s">
        <v>17</v>
      </c>
      <c r="G120" s="26" t="s">
        <v>130</v>
      </c>
      <c r="H120" s="27">
        <f t="shared" si="1"/>
        <v>2.083333333333337E-2</v>
      </c>
      <c r="I120" s="28">
        <v>0.45833333333333331</v>
      </c>
      <c r="J120" s="28">
        <v>0.47916666666666669</v>
      </c>
    </row>
    <row r="121" spans="1:10" ht="25.2" x14ac:dyDescent="0.2">
      <c r="A121" s="20">
        <v>45772</v>
      </c>
      <c r="B121" s="20" t="s">
        <v>33</v>
      </c>
      <c r="C121" s="116" t="s">
        <v>14</v>
      </c>
      <c r="D121" s="25" t="s">
        <v>15</v>
      </c>
      <c r="E121" s="25" t="s">
        <v>19</v>
      </c>
      <c r="F121" s="25" t="s">
        <v>17</v>
      </c>
      <c r="G121" s="26" t="s">
        <v>131</v>
      </c>
      <c r="H121" s="27">
        <f t="shared" si="1"/>
        <v>2.0833333333333315E-2</v>
      </c>
      <c r="I121" s="28">
        <v>0.47916666666666669</v>
      </c>
      <c r="J121" s="28">
        <v>0.5</v>
      </c>
    </row>
    <row r="122" spans="1:10" ht="75.599999999999994" x14ac:dyDescent="0.2">
      <c r="A122" s="20">
        <v>45772</v>
      </c>
      <c r="B122" s="20" t="s">
        <v>33</v>
      </c>
      <c r="C122" s="116" t="s">
        <v>14</v>
      </c>
      <c r="D122" s="25" t="s">
        <v>15</v>
      </c>
      <c r="E122" s="25" t="s">
        <v>19</v>
      </c>
      <c r="F122" s="25" t="s">
        <v>17</v>
      </c>
      <c r="G122" s="26" t="s">
        <v>132</v>
      </c>
      <c r="H122" s="27">
        <f t="shared" si="1"/>
        <v>0.125</v>
      </c>
      <c r="I122" s="28">
        <v>0.54166666666666663</v>
      </c>
      <c r="J122" s="28">
        <v>0.66666666666666663</v>
      </c>
    </row>
    <row r="123" spans="1:10" ht="75.599999999999994" x14ac:dyDescent="0.2">
      <c r="A123" s="20">
        <v>45772</v>
      </c>
      <c r="B123" s="20" t="s">
        <v>33</v>
      </c>
      <c r="C123" s="116" t="s">
        <v>14</v>
      </c>
      <c r="D123" s="25" t="s">
        <v>15</v>
      </c>
      <c r="E123" s="25" t="s">
        <v>16</v>
      </c>
      <c r="F123" s="25" t="s">
        <v>17</v>
      </c>
      <c r="G123" s="26" t="s">
        <v>133</v>
      </c>
      <c r="H123" s="27">
        <f t="shared" si="1"/>
        <v>8.333333333333337E-2</v>
      </c>
      <c r="I123" s="28">
        <v>0.66666666666666663</v>
      </c>
      <c r="J123" s="28">
        <v>0.75</v>
      </c>
    </row>
    <row r="124" spans="1:10" x14ac:dyDescent="0.2">
      <c r="A124" s="29">
        <v>45773</v>
      </c>
      <c r="B124" s="29" t="s">
        <v>42</v>
      </c>
      <c r="C124" s="30"/>
      <c r="D124" s="30"/>
      <c r="E124" s="30"/>
      <c r="F124" s="30"/>
      <c r="G124" s="31"/>
      <c r="H124" s="32">
        <f t="shared" si="1"/>
        <v>0</v>
      </c>
      <c r="I124" s="33"/>
      <c r="J124" s="33"/>
    </row>
    <row r="125" spans="1:10" x14ac:dyDescent="0.2">
      <c r="A125" s="29">
        <v>45774</v>
      </c>
      <c r="B125" s="29" t="s">
        <v>43</v>
      </c>
      <c r="C125" s="30"/>
      <c r="D125" s="30"/>
      <c r="E125" s="30"/>
      <c r="F125" s="30"/>
      <c r="G125" s="31" t="s">
        <v>134</v>
      </c>
      <c r="H125" s="32">
        <f t="shared" si="1"/>
        <v>0</v>
      </c>
      <c r="I125" s="33"/>
      <c r="J125" s="33"/>
    </row>
    <row r="126" spans="1:10" x14ac:dyDescent="0.2">
      <c r="A126" s="43">
        <v>45775</v>
      </c>
      <c r="B126" s="43" t="s">
        <v>44</v>
      </c>
      <c r="C126" s="44" t="s">
        <v>14</v>
      </c>
      <c r="D126" s="44"/>
      <c r="E126" s="44" t="s">
        <v>107</v>
      </c>
      <c r="F126" s="44" t="s">
        <v>17</v>
      </c>
      <c r="G126" s="45" t="s">
        <v>135</v>
      </c>
      <c r="H126" s="46">
        <f t="shared" si="1"/>
        <v>0.33333333333333331</v>
      </c>
      <c r="I126" s="47">
        <v>0.33333333333333331</v>
      </c>
      <c r="J126" s="47">
        <v>0.66666666666666663</v>
      </c>
    </row>
    <row r="127" spans="1:10" ht="37.799999999999997" x14ac:dyDescent="0.2">
      <c r="A127" s="20">
        <v>45776</v>
      </c>
      <c r="B127" s="20" t="s">
        <v>13</v>
      </c>
      <c r="C127" s="25" t="s">
        <v>14</v>
      </c>
      <c r="D127" s="25" t="s">
        <v>15</v>
      </c>
      <c r="E127" s="25" t="s">
        <v>16</v>
      </c>
      <c r="F127" s="25" t="s">
        <v>17</v>
      </c>
      <c r="G127" s="26" t="s">
        <v>136</v>
      </c>
      <c r="H127" s="27">
        <f t="shared" si="1"/>
        <v>1.3888888888888895E-2</v>
      </c>
      <c r="I127" s="28">
        <v>0.33333333333333331</v>
      </c>
      <c r="J127" s="28">
        <v>0.34722222222222221</v>
      </c>
    </row>
    <row r="128" spans="1:10" ht="37.799999999999997" x14ac:dyDescent="0.2">
      <c r="A128" s="20">
        <v>45776</v>
      </c>
      <c r="B128" s="20" t="s">
        <v>13</v>
      </c>
      <c r="C128" s="25" t="s">
        <v>14</v>
      </c>
      <c r="D128" s="25" t="s">
        <v>15</v>
      </c>
      <c r="E128" s="25" t="s">
        <v>19</v>
      </c>
      <c r="F128" s="25" t="s">
        <v>17</v>
      </c>
      <c r="G128" s="26" t="s">
        <v>137</v>
      </c>
      <c r="H128" s="27">
        <f t="shared" si="1"/>
        <v>0.1111111111111111</v>
      </c>
      <c r="I128" s="28">
        <v>0.34722222222222221</v>
      </c>
      <c r="J128" s="28">
        <v>0.45833333333333331</v>
      </c>
    </row>
    <row r="129" spans="1:10" ht="63" x14ac:dyDescent="0.2">
      <c r="A129" s="20">
        <v>45776</v>
      </c>
      <c r="B129" s="20" t="s">
        <v>13</v>
      </c>
      <c r="C129" s="25" t="s">
        <v>14</v>
      </c>
      <c r="D129" s="25" t="s">
        <v>15</v>
      </c>
      <c r="E129" s="25" t="s">
        <v>16</v>
      </c>
      <c r="F129" s="25" t="s">
        <v>17</v>
      </c>
      <c r="G129" s="26" t="s">
        <v>138</v>
      </c>
      <c r="H129" s="27">
        <f t="shared" si="1"/>
        <v>4.1666666666666685E-2</v>
      </c>
      <c r="I129" s="28">
        <v>0.45833333333333331</v>
      </c>
      <c r="J129" s="28">
        <v>0.5</v>
      </c>
    </row>
    <row r="130" spans="1:10" ht="50.4" x14ac:dyDescent="0.2">
      <c r="A130" s="20">
        <v>45776</v>
      </c>
      <c r="B130" s="20" t="s">
        <v>13</v>
      </c>
      <c r="C130" s="25" t="s">
        <v>14</v>
      </c>
      <c r="D130" s="25" t="s">
        <v>15</v>
      </c>
      <c r="E130" s="25" t="s">
        <v>19</v>
      </c>
      <c r="F130" s="25" t="s">
        <v>17</v>
      </c>
      <c r="G130" s="26" t="s">
        <v>139</v>
      </c>
      <c r="H130" s="27">
        <f t="shared" si="1"/>
        <v>0.125</v>
      </c>
      <c r="I130" s="28">
        <v>0.54166666666666663</v>
      </c>
      <c r="J130" s="28">
        <v>0.66666666666666663</v>
      </c>
    </row>
    <row r="131" spans="1:10" ht="63" x14ac:dyDescent="0.2">
      <c r="A131" s="20">
        <v>45776</v>
      </c>
      <c r="B131" s="20" t="s">
        <v>13</v>
      </c>
      <c r="C131" s="25" t="s">
        <v>14</v>
      </c>
      <c r="D131" s="25" t="s">
        <v>15</v>
      </c>
      <c r="E131" s="25" t="s">
        <v>16</v>
      </c>
      <c r="F131" s="25" t="s">
        <v>17</v>
      </c>
      <c r="G131" s="26" t="s">
        <v>140</v>
      </c>
      <c r="H131" s="27">
        <f t="shared" si="1"/>
        <v>9.027777777777779E-2</v>
      </c>
      <c r="I131" s="28">
        <v>0.66666666666666663</v>
      </c>
      <c r="J131" s="28">
        <v>0.75694444444444442</v>
      </c>
    </row>
    <row r="132" spans="1:10" ht="37.799999999999997" x14ac:dyDescent="0.2">
      <c r="A132" s="20">
        <v>45777</v>
      </c>
      <c r="B132" s="20" t="s">
        <v>24</v>
      </c>
      <c r="C132" s="25" t="s">
        <v>14</v>
      </c>
      <c r="D132" s="25" t="s">
        <v>15</v>
      </c>
      <c r="E132" s="25" t="s">
        <v>16</v>
      </c>
      <c r="F132" s="25" t="s">
        <v>17</v>
      </c>
      <c r="G132" s="26" t="s">
        <v>141</v>
      </c>
      <c r="H132" s="27">
        <f t="shared" si="1"/>
        <v>1.3888888888888895E-2</v>
      </c>
      <c r="I132" s="28">
        <v>0.33333333333333331</v>
      </c>
      <c r="J132" s="28">
        <v>0.34722222222222221</v>
      </c>
    </row>
    <row r="133" spans="1:10" ht="25.2" x14ac:dyDescent="0.2">
      <c r="A133" s="20">
        <v>45777</v>
      </c>
      <c r="B133" s="20" t="s">
        <v>24</v>
      </c>
      <c r="C133" s="25" t="s">
        <v>14</v>
      </c>
      <c r="D133" s="25" t="s">
        <v>15</v>
      </c>
      <c r="E133" s="25" t="s">
        <v>19</v>
      </c>
      <c r="F133" s="25" t="s">
        <v>17</v>
      </c>
      <c r="G133" s="26" t="s">
        <v>142</v>
      </c>
      <c r="H133" s="27">
        <f t="shared" ref="H133:H137" si="2">J133-I133</f>
        <v>0.15277777777777779</v>
      </c>
      <c r="I133" s="28">
        <v>0.34722222222222221</v>
      </c>
      <c r="J133" s="28">
        <v>0.5</v>
      </c>
    </row>
    <row r="134" spans="1:10" ht="25.2" x14ac:dyDescent="0.2">
      <c r="A134" s="20">
        <v>45777</v>
      </c>
      <c r="B134" s="20" t="s">
        <v>24</v>
      </c>
      <c r="C134" s="25" t="s">
        <v>14</v>
      </c>
      <c r="D134" s="25" t="s">
        <v>15</v>
      </c>
      <c r="E134" s="25" t="s">
        <v>19</v>
      </c>
      <c r="F134" s="25" t="s">
        <v>17</v>
      </c>
      <c r="G134" s="26" t="s">
        <v>143</v>
      </c>
      <c r="H134" s="27">
        <f t="shared" si="2"/>
        <v>8.333333333333337E-2</v>
      </c>
      <c r="I134" s="28">
        <v>0.54166666666666663</v>
      </c>
      <c r="J134" s="28">
        <v>0.625</v>
      </c>
    </row>
    <row r="135" spans="1:10" ht="50.4" x14ac:dyDescent="0.2">
      <c r="A135" s="20">
        <v>45777</v>
      </c>
      <c r="B135" s="20" t="s">
        <v>24</v>
      </c>
      <c r="C135" s="25" t="s">
        <v>14</v>
      </c>
      <c r="D135" s="25" t="s">
        <v>15</v>
      </c>
      <c r="E135" s="25" t="s">
        <v>16</v>
      </c>
      <c r="F135" s="25" t="s">
        <v>17</v>
      </c>
      <c r="G135" s="26" t="s">
        <v>144</v>
      </c>
      <c r="H135" s="27">
        <f t="shared" si="2"/>
        <v>2.083333333333337E-2</v>
      </c>
      <c r="I135" s="28">
        <v>0.625</v>
      </c>
      <c r="J135" s="28">
        <v>0.64583333333333337</v>
      </c>
    </row>
    <row r="136" spans="1:10" ht="25.2" x14ac:dyDescent="0.2">
      <c r="A136" s="20">
        <v>45777</v>
      </c>
      <c r="B136" s="20" t="s">
        <v>24</v>
      </c>
      <c r="C136" s="25" t="s">
        <v>14</v>
      </c>
      <c r="D136" s="25" t="s">
        <v>15</v>
      </c>
      <c r="E136" s="25" t="s">
        <v>19</v>
      </c>
      <c r="F136" s="25" t="s">
        <v>17</v>
      </c>
      <c r="G136" s="26" t="s">
        <v>145</v>
      </c>
      <c r="H136" s="27">
        <f t="shared" si="2"/>
        <v>2.0833333333333259E-2</v>
      </c>
      <c r="I136" s="28">
        <v>0.64583333333333337</v>
      </c>
      <c r="J136" s="28">
        <v>0.66666666666666663</v>
      </c>
    </row>
    <row r="137" spans="1:10" x14ac:dyDescent="0.2">
      <c r="A137" s="20">
        <v>45777</v>
      </c>
      <c r="B137" s="20" t="s">
        <v>24</v>
      </c>
      <c r="C137" s="25" t="s">
        <v>14</v>
      </c>
      <c r="D137" s="25" t="s">
        <v>15</v>
      </c>
      <c r="E137" s="25" t="s">
        <v>16</v>
      </c>
      <c r="F137" s="25" t="s">
        <v>17</v>
      </c>
      <c r="G137" s="26" t="s">
        <v>146</v>
      </c>
      <c r="H137" s="27">
        <f t="shared" si="2"/>
        <v>6.25E-2</v>
      </c>
      <c r="I137" s="28">
        <v>0.66666666666666663</v>
      </c>
      <c r="J137" s="28">
        <v>0.72916666666666663</v>
      </c>
    </row>
    <row r="138" spans="1:10" ht="13.95" customHeight="1" thickBot="1" x14ac:dyDescent="0.25">
      <c r="A138" s="42"/>
      <c r="B138" s="42"/>
      <c r="G138" s="37"/>
      <c r="H138" s="117"/>
      <c r="I138" s="118"/>
      <c r="J138" s="118"/>
    </row>
    <row r="139" spans="1:10" ht="13.95" customHeight="1" x14ac:dyDescent="0.25">
      <c r="A139" s="2"/>
      <c r="B139" s="2"/>
      <c r="C139" s="3"/>
      <c r="D139" s="4"/>
      <c r="E139" s="5" t="s">
        <v>147</v>
      </c>
      <c r="F139" s="6">
        <v>152</v>
      </c>
      <c r="H139" s="37"/>
    </row>
    <row r="140" spans="1:10" ht="13.95" customHeight="1" thickBot="1" x14ac:dyDescent="0.3">
      <c r="A140" s="2"/>
      <c r="B140" s="2"/>
      <c r="C140" s="7"/>
      <c r="D140" s="1"/>
      <c r="E140" s="8" t="s">
        <v>148</v>
      </c>
      <c r="F140" s="9">
        <v>19</v>
      </c>
      <c r="H140" s="37"/>
    </row>
    <row r="141" spans="1:10" ht="13.95" customHeight="1" thickBot="1" x14ac:dyDescent="0.3">
      <c r="A141" s="119" t="s">
        <v>149</v>
      </c>
      <c r="B141" s="119"/>
      <c r="C141" s="119"/>
      <c r="D141" s="10"/>
      <c r="E141" s="1"/>
      <c r="F141" s="1"/>
      <c r="H141" s="37"/>
    </row>
    <row r="142" spans="1:10" ht="13.8" x14ac:dyDescent="0.25">
      <c r="A142" s="11"/>
      <c r="B142" s="11"/>
      <c r="C142" s="4"/>
      <c r="D142" s="4"/>
      <c r="E142" s="12" t="s">
        <v>150</v>
      </c>
      <c r="F142" s="13">
        <f>SUMIF(F9:F132,"Billable",H9:H132)</f>
        <v>0</v>
      </c>
      <c r="H142" s="35"/>
    </row>
    <row r="143" spans="1:10" ht="15" customHeight="1" thickBot="1" x14ac:dyDescent="0.3">
      <c r="A143" s="120" t="s">
        <v>151</v>
      </c>
      <c r="B143" s="120"/>
      <c r="C143" s="120"/>
      <c r="D143" s="14"/>
      <c r="E143" s="15" t="s">
        <v>152</v>
      </c>
      <c r="F143" s="16">
        <f>SUMIF(F9:F132,"Non-Billable",H9:H132)</f>
        <v>7.1416666666666657</v>
      </c>
      <c r="H143" s="37"/>
    </row>
    <row r="144" spans="1:10" ht="14.4" thickBot="1" x14ac:dyDescent="0.3">
      <c r="A144" s="1"/>
      <c r="B144" s="1"/>
      <c r="C144" s="1"/>
      <c r="D144" s="1"/>
      <c r="E144" s="17" t="s">
        <v>153</v>
      </c>
      <c r="F144" s="41">
        <f>F142+F143</f>
        <v>7.1416666666666657</v>
      </c>
      <c r="H144" s="37"/>
    </row>
    <row r="145" spans="1:8" ht="13.8" thickBot="1" x14ac:dyDescent="0.3">
      <c r="A145" s="1"/>
      <c r="B145" s="1"/>
      <c r="C145" s="1"/>
      <c r="D145" s="1"/>
      <c r="E145" s="1"/>
      <c r="F145" s="1"/>
      <c r="H145" s="37"/>
    </row>
    <row r="146" spans="1:8" ht="13.8" thickBot="1" x14ac:dyDescent="0.3">
      <c r="A146" s="1"/>
      <c r="B146" s="1"/>
      <c r="C146" s="1"/>
      <c r="D146" s="1"/>
      <c r="E146" s="18" t="s">
        <v>154</v>
      </c>
      <c r="F146" s="19"/>
      <c r="H146" s="37"/>
    </row>
    <row r="147" spans="1:8" ht="13.2" thickBot="1" x14ac:dyDescent="0.25">
      <c r="E147" s="36"/>
      <c r="H147" s="37"/>
    </row>
  </sheetData>
  <mergeCells count="2">
    <mergeCell ref="A141:C141"/>
    <mergeCell ref="A143:C143"/>
  </mergeCells>
  <phoneticPr fontId="10" type="noConversion"/>
  <conditionalFormatting sqref="A6:B6 D7:E7">
    <cfRule type="containsText" dxfId="15" priority="12" operator="containsText" text="Religious Leave">
      <formula>NOT(ISERROR(SEARCH("Religious Leave",A6)))</formula>
    </cfRule>
    <cfRule type="containsText" dxfId="14" priority="13" operator="containsText" text="Birthday Leave">
      <formula>NOT(ISERROR(SEARCH("Birthday Leave",A6)))</formula>
    </cfRule>
    <cfRule type="containsText" dxfId="13" priority="14" operator="containsText" text="Study Leave">
      <formula>NOT(ISERROR(SEARCH("Study Leave",A6)))</formula>
    </cfRule>
    <cfRule type="containsText" dxfId="12" priority="15" operator="containsText" text="Family Responsibility Leave">
      <formula>NOT(ISERROR(SEARCH("Family Responsibility Leave",A6)))</formula>
    </cfRule>
    <cfRule type="containsText" dxfId="11" priority="16" operator="containsText" text="Sick Leave">
      <formula>NOT(ISERROR(SEARCH("Sick Leave",A6)))</formula>
    </cfRule>
    <cfRule type="containsText" dxfId="10" priority="17" operator="containsText" text="Annual Leave">
      <formula>NOT(ISERROR(SEARCH("Annual Leave",A6)))</formula>
    </cfRule>
    <cfRule type="cellIs" dxfId="9" priority="18" operator="equal">
      <formula>"Public Holiday"</formula>
    </cfRule>
  </conditionalFormatting>
  <conditionalFormatting sqref="B8:B147">
    <cfRule type="containsText" dxfId="8" priority="1" operator="containsText" text="Saturday">
      <formula>NOT(ISERROR(SEARCH("Saturday",B8)))</formula>
    </cfRule>
    <cfRule type="containsText" dxfId="7" priority="2" operator="containsText" text="Sunday">
      <formula>NOT(ISERROR(SEARCH("Sunday",B8)))</formula>
    </cfRule>
  </conditionalFormatting>
  <conditionalFormatting sqref="D139:E139 D141:E143 E146">
    <cfRule type="containsText" dxfId="6" priority="3" operator="containsText" text="Religious Leave">
      <formula>NOT(ISERROR(SEARCH("Religious Leave",D139)))</formula>
    </cfRule>
    <cfRule type="containsText" dxfId="5" priority="4" operator="containsText" text="Birthday Leave">
      <formula>NOT(ISERROR(SEARCH("Birthday Leave",D139)))</formula>
    </cfRule>
    <cfRule type="containsText" dxfId="4" priority="5" operator="containsText" text="Study Leave">
      <formula>NOT(ISERROR(SEARCH("Study Leave",D139)))</formula>
    </cfRule>
    <cfRule type="containsText" dxfId="3" priority="6" operator="containsText" text="Family Responsibility Leave">
      <formula>NOT(ISERROR(SEARCH("Family Responsibility Leave",D139)))</formula>
    </cfRule>
    <cfRule type="containsText" dxfId="2" priority="7" operator="containsText" text="Sick Leave">
      <formula>NOT(ISERROR(SEARCH("Sick Leave",D139)))</formula>
    </cfRule>
    <cfRule type="containsText" dxfId="1" priority="8" operator="containsText" text="Annual Leave">
      <formula>NOT(ISERROR(SEARCH("Annual Leave",D139)))</formula>
    </cfRule>
    <cfRule type="cellIs" dxfId="0" priority="9" operator="equal">
      <formula>"Public Holiday"</formula>
    </cfRule>
  </conditionalFormatting>
  <dataValidations count="1">
    <dataValidation type="time" allowBlank="1" showErrorMessage="1" errorTitle="Invalid Time Format" error="Please input a valid time. For e.g. 08:00" sqref="I9:J138" xr:uid="{68437EC4-DD9C-463B-9F8D-7339DE1FDE4C}">
      <formula1>0</formula1>
      <formula2>0.999988425925926</formula2>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D3F3BEC1-F54D-4034-9200-E177F5F22F68}">
          <x14:formula1>
            <xm:f>Key!$K$3:$K$4</xm:f>
          </x14:formula1>
          <xm:sqref>F9:F13 F15:F138</xm:sqref>
        </x14:dataValidation>
        <x14:dataValidation type="list" allowBlank="1" showInputMessage="1" showErrorMessage="1" xr:uid="{8D174978-0CE3-4483-935A-E2D2B6171911}">
          <x14:formula1>
            <xm:f>Key!$F$3:$F$47</xm:f>
          </x14:formula1>
          <xm:sqref>F14 E9:E138</xm:sqref>
        </x14:dataValidation>
        <x14:dataValidation type="list" allowBlank="1" showInputMessage="1" showErrorMessage="1" xr:uid="{C171C48C-979E-452A-9BA2-E995ACE2BE06}">
          <x14:formula1>
            <xm:f>Key!$H$3:$H$76</xm:f>
          </x14:formula1>
          <xm:sqref>B5</xm:sqref>
        </x14:dataValidation>
        <x14:dataValidation type="list" allowBlank="1" showInputMessage="1" showErrorMessage="1" xr:uid="{2056345A-D817-415C-BFFF-52AAC88A616B}">
          <x14:formula1>
            <xm:f>Key!$B$2:$B$43</xm:f>
          </x14:formula1>
          <xm:sqref>C9:C138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8809-782A-4EC8-A7EE-23E6EB29126F}">
  <dimension ref="A1:O18"/>
  <sheetViews>
    <sheetView zoomScale="75" zoomScaleNormal="75" workbookViewId="0">
      <selection activeCell="B5" sqref="B5"/>
    </sheetView>
  </sheetViews>
  <sheetFormatPr defaultColWidth="8.69921875" defaultRowHeight="12.6" x14ac:dyDescent="0.2"/>
  <cols>
    <col min="1" max="1" width="12" style="21" customWidth="1"/>
    <col min="2" max="2" width="13.09765625" style="21" customWidth="1"/>
    <col min="3" max="3" width="16.19921875" style="21" bestFit="1" customWidth="1"/>
    <col min="4" max="4" width="8.69921875" style="21"/>
    <col min="5" max="5" width="13.19921875" style="21" customWidth="1"/>
    <col min="6" max="6" width="14.5" style="21" customWidth="1"/>
    <col min="7" max="16384" width="8.69921875" style="21"/>
  </cols>
  <sheetData>
    <row r="1" spans="1:15" ht="13.5" customHeight="1" x14ac:dyDescent="0.2">
      <c r="A1" s="76"/>
      <c r="B1" s="76"/>
      <c r="C1" s="76"/>
      <c r="D1" s="76"/>
      <c r="E1" s="76"/>
      <c r="F1" s="76"/>
    </row>
    <row r="2" spans="1:15" x14ac:dyDescent="0.2">
      <c r="A2" s="75"/>
      <c r="B2" s="75"/>
      <c r="C2" s="80"/>
      <c r="D2" s="80"/>
      <c r="E2" s="80"/>
      <c r="F2" s="80"/>
    </row>
    <row r="3" spans="1:15" x14ac:dyDescent="0.2">
      <c r="A3" s="75"/>
      <c r="B3" s="75"/>
      <c r="C3" s="81"/>
      <c r="D3" s="81"/>
      <c r="E3" s="81"/>
      <c r="F3" s="81"/>
    </row>
    <row r="4" spans="1:15" x14ac:dyDescent="0.2">
      <c r="A4" s="75"/>
      <c r="B4" s="75"/>
      <c r="C4" s="82"/>
      <c r="D4" s="82"/>
      <c r="E4" s="82"/>
      <c r="F4" s="82"/>
    </row>
    <row r="5" spans="1:15" x14ac:dyDescent="0.2">
      <c r="A5" s="34" t="s">
        <v>0</v>
      </c>
      <c r="B5" s="21" t="s">
        <v>155</v>
      </c>
      <c r="C5" s="82"/>
      <c r="D5" s="82"/>
      <c r="E5" s="82"/>
      <c r="F5" s="82"/>
    </row>
    <row r="6" spans="1:15" x14ac:dyDescent="0.2">
      <c r="A6" s="75" t="s">
        <v>156</v>
      </c>
      <c r="B6" s="77">
        <f>F17</f>
        <v>200</v>
      </c>
      <c r="C6" s="80"/>
      <c r="D6" s="81"/>
      <c r="E6" s="81"/>
      <c r="F6" s="81"/>
    </row>
    <row r="7" spans="1:15" ht="13.5" customHeight="1" x14ac:dyDescent="0.2">
      <c r="A7" s="69"/>
      <c r="B7" s="70"/>
      <c r="C7" s="70"/>
      <c r="D7" s="81"/>
      <c r="E7" s="81"/>
      <c r="F7" s="81"/>
    </row>
    <row r="8" spans="1:15" ht="27.45" customHeight="1" x14ac:dyDescent="0.2">
      <c r="A8" s="126" t="s">
        <v>157</v>
      </c>
      <c r="B8" s="126"/>
      <c r="C8" s="126"/>
      <c r="D8" s="126"/>
      <c r="E8" s="126"/>
      <c r="F8" s="126"/>
    </row>
    <row r="9" spans="1:15" ht="13.5" customHeight="1" thickBot="1" x14ac:dyDescent="0.25">
      <c r="A9" s="78" t="s">
        <v>158</v>
      </c>
      <c r="B9" s="123" t="s">
        <v>159</v>
      </c>
      <c r="C9" s="124"/>
      <c r="D9" s="123" t="s">
        <v>160</v>
      </c>
      <c r="E9" s="124"/>
      <c r="F9" s="79" t="s">
        <v>161</v>
      </c>
    </row>
    <row r="10" spans="1:15" x14ac:dyDescent="0.2">
      <c r="A10" s="74">
        <v>45566</v>
      </c>
      <c r="B10" s="125" t="s">
        <v>162</v>
      </c>
      <c r="C10" s="125"/>
      <c r="D10" s="125" t="s">
        <v>163</v>
      </c>
      <c r="E10" s="125"/>
      <c r="F10" s="73">
        <v>200</v>
      </c>
      <c r="G10" s="121" t="s">
        <v>164</v>
      </c>
      <c r="H10" s="122"/>
      <c r="I10" s="122"/>
      <c r="J10" s="122"/>
      <c r="K10" s="122"/>
      <c r="L10" s="122"/>
      <c r="M10" s="122"/>
      <c r="N10" s="122"/>
      <c r="O10" s="122"/>
    </row>
    <row r="11" spans="1:15" x14ac:dyDescent="0.2">
      <c r="A11" s="74">
        <v>45566</v>
      </c>
      <c r="B11" s="127" t="s">
        <v>165</v>
      </c>
      <c r="C11" s="128"/>
      <c r="D11" s="125" t="s">
        <v>166</v>
      </c>
      <c r="E11" s="125"/>
      <c r="F11" s="73"/>
    </row>
    <row r="12" spans="1:15" x14ac:dyDescent="0.2">
      <c r="A12" s="74">
        <v>45566</v>
      </c>
      <c r="B12" s="127" t="s">
        <v>167</v>
      </c>
      <c r="C12" s="128"/>
      <c r="D12" s="125"/>
      <c r="E12" s="125"/>
      <c r="F12" s="73"/>
    </row>
    <row r="13" spans="1:15" x14ac:dyDescent="0.2">
      <c r="A13" s="74">
        <v>45566</v>
      </c>
      <c r="B13" s="127"/>
      <c r="C13" s="128"/>
      <c r="D13" s="125"/>
      <c r="E13" s="125"/>
      <c r="F13" s="73"/>
    </row>
    <row r="14" spans="1:15" x14ac:dyDescent="0.2">
      <c r="A14" s="74">
        <v>45566</v>
      </c>
      <c r="B14" s="127"/>
      <c r="C14" s="128"/>
      <c r="D14" s="125"/>
      <c r="E14" s="125"/>
      <c r="F14" s="73"/>
    </row>
    <row r="15" spans="1:15" x14ac:dyDescent="0.2">
      <c r="A15" s="74">
        <v>45566</v>
      </c>
      <c r="B15" s="132"/>
      <c r="C15" s="133"/>
      <c r="D15" s="125"/>
      <c r="E15" s="125"/>
      <c r="F15" s="73"/>
    </row>
    <row r="16" spans="1:15" ht="13.2" thickBot="1" x14ac:dyDescent="0.25">
      <c r="A16" s="74">
        <v>45566</v>
      </c>
      <c r="B16" s="127"/>
      <c r="C16" s="128"/>
      <c r="D16" s="125"/>
      <c r="E16" s="125"/>
      <c r="F16" s="73"/>
    </row>
    <row r="17" spans="1:6" ht="13.5" customHeight="1" thickBot="1" x14ac:dyDescent="0.25">
      <c r="A17" s="129" t="s">
        <v>168</v>
      </c>
      <c r="B17" s="130"/>
      <c r="C17" s="130"/>
      <c r="D17" s="130"/>
      <c r="E17" s="131"/>
      <c r="F17" s="72">
        <f>SUM(F10:F16)</f>
        <v>200</v>
      </c>
    </row>
    <row r="18" spans="1:6" x14ac:dyDescent="0.2">
      <c r="A18" s="69"/>
      <c r="B18" s="70"/>
      <c r="C18" s="70"/>
      <c r="D18" s="70"/>
      <c r="E18" s="71"/>
      <c r="F18" s="71"/>
    </row>
  </sheetData>
  <mergeCells count="19">
    <mergeCell ref="B13:C13"/>
    <mergeCell ref="D13:E13"/>
    <mergeCell ref="A17:E17"/>
    <mergeCell ref="B14:C14"/>
    <mergeCell ref="D14:E14"/>
    <mergeCell ref="B15:C15"/>
    <mergeCell ref="D15:E15"/>
    <mergeCell ref="B16:C16"/>
    <mergeCell ref="D16:E16"/>
    <mergeCell ref="A8:F8"/>
    <mergeCell ref="B11:C11"/>
    <mergeCell ref="D11:E11"/>
    <mergeCell ref="B12:C12"/>
    <mergeCell ref="D12:E12"/>
    <mergeCell ref="G10:O10"/>
    <mergeCell ref="B9:C9"/>
    <mergeCell ref="D9:E9"/>
    <mergeCell ref="B10:C10"/>
    <mergeCell ref="D10:E10"/>
  </mergeCells>
  <dataValidations count="1">
    <dataValidation type="list" allowBlank="1" showInputMessage="1" showErrorMessage="1" sqref="D7 D18" xr:uid="{517DF1E8-3052-48CF-9AE1-C19E6ECB6686}">
      <formula1>$H$2:$H$4</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7896F57-C723-4B2F-A817-4B0B599756FB}">
          <x14:formula1>
            <xm:f>Key!$H$3:$H$82</xm:f>
          </x14:formula1>
          <xm:sqref>B5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D5F3-AC91-43ED-96BB-0299CBED5EE0}">
  <dimension ref="A4:F23"/>
  <sheetViews>
    <sheetView zoomScale="75" zoomScaleNormal="75" workbookViewId="0">
      <selection activeCell="E12" sqref="E12"/>
    </sheetView>
  </sheetViews>
  <sheetFormatPr defaultColWidth="8.69921875" defaultRowHeight="12.6" x14ac:dyDescent="0.2"/>
  <cols>
    <col min="1" max="1" width="15.5" style="21" bestFit="1" customWidth="1"/>
    <col min="2" max="2" width="11.69921875" style="21" customWidth="1"/>
    <col min="3" max="3" width="9.69921875" style="21" customWidth="1"/>
    <col min="4" max="16384" width="8.69921875" style="21"/>
  </cols>
  <sheetData>
    <row r="4" spans="1:6" x14ac:dyDescent="0.2">
      <c r="A4" s="134"/>
      <c r="B4" s="134"/>
    </row>
    <row r="5" spans="1:6" x14ac:dyDescent="0.2">
      <c r="A5" s="34" t="s">
        <v>0</v>
      </c>
      <c r="B5" s="21" t="s">
        <v>155</v>
      </c>
    </row>
    <row r="6" spans="1:6" x14ac:dyDescent="0.2">
      <c r="A6" s="75" t="s">
        <v>169</v>
      </c>
      <c r="B6" s="75"/>
    </row>
    <row r="7" spans="1:6" x14ac:dyDescent="0.2">
      <c r="A7" s="91" t="s">
        <v>170</v>
      </c>
      <c r="B7" s="91"/>
    </row>
    <row r="8" spans="1:6" x14ac:dyDescent="0.2">
      <c r="A8" s="92"/>
      <c r="B8" s="81"/>
    </row>
    <row r="9" spans="1:6" ht="27.45" customHeight="1" x14ac:dyDescent="0.2">
      <c r="A9" s="147" t="s">
        <v>171</v>
      </c>
      <c r="B9" s="147"/>
      <c r="C9" s="147"/>
      <c r="D9" s="147"/>
      <c r="E9" s="147"/>
      <c r="F9" s="147"/>
    </row>
    <row r="10" spans="1:6" ht="25.2" x14ac:dyDescent="0.2">
      <c r="A10" s="83" t="s">
        <v>172</v>
      </c>
      <c r="B10" s="83" t="s">
        <v>173</v>
      </c>
      <c r="C10" s="83" t="s">
        <v>174</v>
      </c>
      <c r="D10" s="83" t="s">
        <v>175</v>
      </c>
      <c r="E10" s="83" t="s">
        <v>176</v>
      </c>
      <c r="F10" s="83" t="s">
        <v>177</v>
      </c>
    </row>
    <row r="11" spans="1:6" x14ac:dyDescent="0.2">
      <c r="A11" s="83"/>
      <c r="B11" s="83"/>
      <c r="C11" s="83"/>
      <c r="D11" s="83"/>
      <c r="E11" s="83"/>
      <c r="F11" s="83"/>
    </row>
    <row r="12" spans="1:6" x14ac:dyDescent="0.2">
      <c r="A12" s="83"/>
      <c r="B12" s="83"/>
      <c r="C12" s="83"/>
      <c r="D12" s="83"/>
      <c r="E12" s="83"/>
      <c r="F12" s="83"/>
    </row>
    <row r="13" spans="1:6" ht="13.2" thickBot="1" x14ac:dyDescent="0.25">
      <c r="A13" s="83"/>
      <c r="B13" s="83"/>
      <c r="C13" s="83"/>
      <c r="D13" s="83"/>
      <c r="E13" s="83"/>
      <c r="F13" s="83"/>
    </row>
    <row r="14" spans="1:6" ht="13.2" thickBot="1" x14ac:dyDescent="0.25">
      <c r="A14" s="84"/>
      <c r="B14" s="85"/>
      <c r="C14" s="85"/>
      <c r="D14" s="86">
        <f>SUM(D11:D13)</f>
        <v>0</v>
      </c>
      <c r="E14" s="85"/>
      <c r="F14" s="87"/>
    </row>
    <row r="15" spans="1:6" ht="13.2" thickBot="1" x14ac:dyDescent="0.25">
      <c r="A15" s="138"/>
      <c r="B15" s="139"/>
      <c r="C15" s="139"/>
      <c r="D15" s="139"/>
      <c r="E15" s="139"/>
      <c r="F15" s="139"/>
    </row>
    <row r="16" spans="1:6" x14ac:dyDescent="0.2">
      <c r="A16" s="148" t="s">
        <v>178</v>
      </c>
      <c r="B16" s="149"/>
      <c r="C16" s="149"/>
      <c r="D16" s="149"/>
      <c r="E16" s="149"/>
      <c r="F16" s="150"/>
    </row>
    <row r="17" spans="1:6" x14ac:dyDescent="0.2">
      <c r="A17" s="135"/>
      <c r="B17" s="136"/>
      <c r="C17" s="136"/>
      <c r="D17" s="136"/>
      <c r="E17" s="136"/>
      <c r="F17" s="137"/>
    </row>
    <row r="18" spans="1:6" x14ac:dyDescent="0.2">
      <c r="A18" s="135"/>
      <c r="B18" s="136"/>
      <c r="C18" s="136"/>
      <c r="D18" s="136"/>
      <c r="E18" s="136"/>
      <c r="F18" s="137"/>
    </row>
    <row r="19" spans="1:6" ht="13.2" thickBot="1" x14ac:dyDescent="0.25">
      <c r="A19" s="138"/>
      <c r="B19" s="139"/>
      <c r="C19" s="139"/>
      <c r="D19" s="139"/>
      <c r="E19" s="139"/>
      <c r="F19" s="140"/>
    </row>
    <row r="20" spans="1:6" ht="13.2" thickBot="1" x14ac:dyDescent="0.25"/>
    <row r="21" spans="1:6" x14ac:dyDescent="0.2">
      <c r="A21" s="88" t="s">
        <v>3</v>
      </c>
      <c r="B21" s="141"/>
      <c r="C21" s="141"/>
      <c r="D21" s="141"/>
      <c r="E21" s="141"/>
      <c r="F21" s="142"/>
    </row>
    <row r="22" spans="1:6" x14ac:dyDescent="0.2">
      <c r="A22" s="89" t="s">
        <v>179</v>
      </c>
      <c r="B22" s="143"/>
      <c r="C22" s="143"/>
      <c r="D22" s="143"/>
      <c r="E22" s="143"/>
      <c r="F22" s="144"/>
    </row>
    <row r="23" spans="1:6" ht="13.2" thickBot="1" x14ac:dyDescent="0.25">
      <c r="A23" s="90" t="s">
        <v>180</v>
      </c>
      <c r="B23" s="145"/>
      <c r="C23" s="145"/>
      <c r="D23" s="145"/>
      <c r="E23" s="145"/>
      <c r="F23" s="146"/>
    </row>
  </sheetData>
  <mergeCells count="8">
    <mergeCell ref="A4:B4"/>
    <mergeCell ref="A17:F19"/>
    <mergeCell ref="B21:F21"/>
    <mergeCell ref="B22:F22"/>
    <mergeCell ref="B23:F23"/>
    <mergeCell ref="A9:F9"/>
    <mergeCell ref="A15:F15"/>
    <mergeCell ref="A16:F16"/>
  </mergeCells>
  <dataValidations count="1">
    <dataValidation type="list" allowBlank="1" showInputMessage="1" showErrorMessage="1" sqref="A10" xr:uid="{CEFCDC94-987C-4D1C-815A-6BA49170943C}">
      <formula1>$H$2:$H$12</formula1>
    </dataValidation>
  </dataValidations>
  <pageMargins left="0.7" right="0.7" top="0.75" bottom="0.75" header="0.3" footer="0.3"/>
  <headerFooter>
    <oddFooter>&amp;L_x000D_&amp;1#&amp;"Calibri"&amp;8&amp;K000000 Classified as Confidential</oddFooter>
  </headerFooter>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CE3D3C50-50E6-4476-A1AC-B75CC367015A}">
          <x14:formula1>
            <xm:f>Key!#REF!</xm:f>
          </x14:formula1>
          <xm:sqref>C4:F4</xm:sqref>
        </x14:dataValidation>
        <x14:dataValidation type="list" allowBlank="1" showInputMessage="1" showErrorMessage="1" xr:uid="{10ADA8E5-0E67-4753-AB35-24D5F605BBCC}">
          <x14:formula1>
            <xm:f>Key!$F$33:$F$40</xm:f>
          </x14:formula1>
          <xm:sqref>A11:A14</xm:sqref>
        </x14:dataValidation>
        <x14:dataValidation type="list" allowBlank="1" showInputMessage="1" showErrorMessage="1" xr:uid="{39EE865D-1893-4D91-9C9E-FAFF9DC830A7}">
          <x14:formula1>
            <xm:f>Key!$H$3:$H$80</xm:f>
          </x14:formula1>
          <xm:sqref>B5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9B26B-3D49-4153-AAFE-5F32086A9ABD}">
  <sheetPr>
    <tabColor theme="4"/>
  </sheetPr>
  <dimension ref="B2:K72"/>
  <sheetViews>
    <sheetView workbookViewId="0">
      <selection activeCell="H25" sqref="H25"/>
    </sheetView>
  </sheetViews>
  <sheetFormatPr defaultColWidth="8.69921875" defaultRowHeight="14.4" x14ac:dyDescent="0.3"/>
  <cols>
    <col min="1" max="1" width="8.69921875" style="48"/>
    <col min="2" max="2" width="25.5" style="48" customWidth="1"/>
    <col min="3" max="3" width="8.69921875" style="48"/>
    <col min="4" max="4" width="19.19921875" style="48" customWidth="1"/>
    <col min="5" max="5" width="8.69921875" style="48"/>
    <col min="6" max="6" width="21.69921875" style="48" customWidth="1"/>
    <col min="7" max="16384" width="8.69921875" style="48"/>
  </cols>
  <sheetData>
    <row r="2" spans="2:11" ht="15" thickBot="1" x14ac:dyDescent="0.35">
      <c r="B2" s="62" t="s">
        <v>14</v>
      </c>
      <c r="D2" s="49" t="s">
        <v>181</v>
      </c>
      <c r="F2" s="48" t="s">
        <v>7</v>
      </c>
      <c r="H2" s="48" t="s">
        <v>182</v>
      </c>
      <c r="K2" s="49" t="s">
        <v>183</v>
      </c>
    </row>
    <row r="3" spans="2:11" x14ac:dyDescent="0.3">
      <c r="B3" s="62" t="s">
        <v>184</v>
      </c>
      <c r="D3" s="67" t="s">
        <v>185</v>
      </c>
      <c r="F3" s="51" t="s">
        <v>186</v>
      </c>
      <c r="H3" s="93" t="s">
        <v>187</v>
      </c>
      <c r="K3" s="52" t="s">
        <v>17</v>
      </c>
    </row>
    <row r="4" spans="2:11" x14ac:dyDescent="0.3">
      <c r="B4" s="62" t="s">
        <v>188</v>
      </c>
      <c r="D4" s="50" t="s">
        <v>189</v>
      </c>
      <c r="F4" s="53" t="s">
        <v>190</v>
      </c>
      <c r="H4" s="64" t="s">
        <v>191</v>
      </c>
      <c r="K4" s="54" t="s">
        <v>183</v>
      </c>
    </row>
    <row r="5" spans="2:11" x14ac:dyDescent="0.3">
      <c r="B5" s="62" t="s">
        <v>192</v>
      </c>
      <c r="D5" s="67" t="s">
        <v>193</v>
      </c>
      <c r="F5" s="55" t="s">
        <v>194</v>
      </c>
      <c r="H5" s="94" t="s">
        <v>195</v>
      </c>
    </row>
    <row r="6" spans="2:11" x14ac:dyDescent="0.3">
      <c r="B6" s="62" t="s">
        <v>196</v>
      </c>
      <c r="D6" s="50" t="s">
        <v>197</v>
      </c>
      <c r="F6" s="53" t="s">
        <v>198</v>
      </c>
      <c r="H6" s="95" t="s">
        <v>199</v>
      </c>
    </row>
    <row r="7" spans="2:11" x14ac:dyDescent="0.3">
      <c r="B7" s="62" t="s">
        <v>200</v>
      </c>
      <c r="D7" s="67" t="s">
        <v>201</v>
      </c>
      <c r="F7" s="55" t="s">
        <v>19</v>
      </c>
      <c r="H7" s="64" t="s">
        <v>202</v>
      </c>
    </row>
    <row r="8" spans="2:11" x14ac:dyDescent="0.3">
      <c r="B8" s="62" t="s">
        <v>203</v>
      </c>
      <c r="D8" s="50" t="s">
        <v>204</v>
      </c>
      <c r="F8" s="53" t="s">
        <v>205</v>
      </c>
      <c r="H8" s="93" t="s">
        <v>206</v>
      </c>
      <c r="K8" s="48" t="s">
        <v>207</v>
      </c>
    </row>
    <row r="9" spans="2:11" x14ac:dyDescent="0.3">
      <c r="B9" s="62" t="s">
        <v>208</v>
      </c>
      <c r="D9" s="67" t="s">
        <v>209</v>
      </c>
      <c r="F9" s="55" t="s">
        <v>210</v>
      </c>
      <c r="H9" s="63" t="s">
        <v>211</v>
      </c>
      <c r="K9" s="48" t="s">
        <v>163</v>
      </c>
    </row>
    <row r="10" spans="2:11" x14ac:dyDescent="0.3">
      <c r="B10" s="62" t="s">
        <v>212</v>
      </c>
      <c r="D10" s="50" t="s">
        <v>213</v>
      </c>
      <c r="F10" s="53" t="s">
        <v>214</v>
      </c>
      <c r="H10" s="96" t="s">
        <v>215</v>
      </c>
    </row>
    <row r="11" spans="2:11" x14ac:dyDescent="0.3">
      <c r="B11" s="62" t="s">
        <v>216</v>
      </c>
      <c r="D11" s="67" t="s">
        <v>217</v>
      </c>
      <c r="F11" s="55" t="s">
        <v>218</v>
      </c>
      <c r="H11" s="64" t="s">
        <v>219</v>
      </c>
      <c r="K11" s="48" t="s">
        <v>220</v>
      </c>
    </row>
    <row r="12" spans="2:11" x14ac:dyDescent="0.3">
      <c r="B12" s="62" t="s">
        <v>221</v>
      </c>
      <c r="F12" s="53" t="s">
        <v>222</v>
      </c>
      <c r="H12" s="97" t="s">
        <v>223</v>
      </c>
      <c r="K12" s="48" t="s">
        <v>224</v>
      </c>
    </row>
    <row r="13" spans="2:11" x14ac:dyDescent="0.3">
      <c r="B13" s="62" t="s">
        <v>225</v>
      </c>
      <c r="F13" s="55" t="s">
        <v>226</v>
      </c>
      <c r="H13" s="97" t="s">
        <v>227</v>
      </c>
    </row>
    <row r="14" spans="2:11" x14ac:dyDescent="0.3">
      <c r="B14" s="62" t="s">
        <v>228</v>
      </c>
      <c r="D14" s="56"/>
      <c r="F14" s="53" t="s">
        <v>229</v>
      </c>
      <c r="H14" s="98" t="s">
        <v>230</v>
      </c>
    </row>
    <row r="15" spans="2:11" x14ac:dyDescent="0.3">
      <c r="B15" s="62" t="s">
        <v>231</v>
      </c>
      <c r="D15" s="57"/>
      <c r="F15" s="55" t="s">
        <v>232</v>
      </c>
      <c r="H15" s="97" t="s">
        <v>233</v>
      </c>
    </row>
    <row r="16" spans="2:11" x14ac:dyDescent="0.3">
      <c r="B16" s="62" t="s">
        <v>234</v>
      </c>
      <c r="D16" s="57"/>
      <c r="F16" s="53" t="s">
        <v>235</v>
      </c>
      <c r="H16" s="99" t="s">
        <v>236</v>
      </c>
    </row>
    <row r="17" spans="2:8" ht="27.6" x14ac:dyDescent="0.3">
      <c r="B17" s="62" t="s">
        <v>237</v>
      </c>
      <c r="D17" s="57"/>
      <c r="F17" s="55" t="s">
        <v>238</v>
      </c>
      <c r="H17" s="97" t="s">
        <v>239</v>
      </c>
    </row>
    <row r="18" spans="2:8" x14ac:dyDescent="0.3">
      <c r="B18" s="62" t="s">
        <v>240</v>
      </c>
      <c r="D18" s="57"/>
      <c r="F18" s="53" t="s">
        <v>241</v>
      </c>
      <c r="H18" s="99" t="s">
        <v>242</v>
      </c>
    </row>
    <row r="19" spans="2:8" x14ac:dyDescent="0.3">
      <c r="B19" s="62" t="s">
        <v>243</v>
      </c>
      <c r="D19" s="57"/>
      <c r="F19" s="55" t="s">
        <v>16</v>
      </c>
      <c r="H19" s="100" t="s">
        <v>244</v>
      </c>
    </row>
    <row r="20" spans="2:8" x14ac:dyDescent="0.3">
      <c r="B20" s="62" t="s">
        <v>245</v>
      </c>
      <c r="D20" s="57"/>
      <c r="F20" s="53" t="s">
        <v>246</v>
      </c>
      <c r="H20" s="98" t="s">
        <v>247</v>
      </c>
    </row>
    <row r="21" spans="2:8" x14ac:dyDescent="0.3">
      <c r="B21" s="62" t="s">
        <v>248</v>
      </c>
      <c r="D21" s="57"/>
      <c r="F21" s="55" t="s">
        <v>249</v>
      </c>
      <c r="H21" s="64" t="s">
        <v>250</v>
      </c>
    </row>
    <row r="22" spans="2:8" x14ac:dyDescent="0.3">
      <c r="B22" s="62" t="s">
        <v>251</v>
      </c>
      <c r="D22" s="57"/>
      <c r="F22" s="53" t="s">
        <v>252</v>
      </c>
      <c r="H22" s="101" t="s">
        <v>253</v>
      </c>
    </row>
    <row r="23" spans="2:8" x14ac:dyDescent="0.3">
      <c r="B23" s="62" t="s">
        <v>254</v>
      </c>
      <c r="D23" s="57"/>
      <c r="F23" s="55" t="s">
        <v>255</v>
      </c>
      <c r="H23" s="102" t="s">
        <v>256</v>
      </c>
    </row>
    <row r="24" spans="2:8" x14ac:dyDescent="0.3">
      <c r="B24" s="62" t="s">
        <v>257</v>
      </c>
      <c r="D24" s="57"/>
      <c r="F24" s="53" t="s">
        <v>258</v>
      </c>
      <c r="H24" s="103" t="s">
        <v>259</v>
      </c>
    </row>
    <row r="25" spans="2:8" x14ac:dyDescent="0.3">
      <c r="B25" s="62" t="s">
        <v>260</v>
      </c>
      <c r="D25" s="57"/>
      <c r="F25" s="55" t="s">
        <v>261</v>
      </c>
      <c r="H25" s="104" t="s">
        <v>155</v>
      </c>
    </row>
    <row r="26" spans="2:8" x14ac:dyDescent="0.3">
      <c r="B26" s="62" t="s">
        <v>262</v>
      </c>
      <c r="F26" s="53" t="s">
        <v>263</v>
      </c>
      <c r="H26" s="66" t="s">
        <v>264</v>
      </c>
    </row>
    <row r="27" spans="2:8" x14ac:dyDescent="0.3">
      <c r="B27" s="62" t="s">
        <v>265</v>
      </c>
      <c r="D27" s="57"/>
      <c r="F27" s="55" t="s">
        <v>266</v>
      </c>
      <c r="H27" s="102" t="s">
        <v>267</v>
      </c>
    </row>
    <row r="28" spans="2:8" x14ac:dyDescent="0.3">
      <c r="B28" s="62" t="s">
        <v>268</v>
      </c>
      <c r="D28" s="57"/>
      <c r="F28" s="53" t="s">
        <v>269</v>
      </c>
      <c r="H28" s="66" t="s">
        <v>270</v>
      </c>
    </row>
    <row r="29" spans="2:8" x14ac:dyDescent="0.3">
      <c r="B29" s="62" t="s">
        <v>271</v>
      </c>
      <c r="F29" s="55" t="s">
        <v>272</v>
      </c>
      <c r="H29" s="105" t="s">
        <v>273</v>
      </c>
    </row>
    <row r="30" spans="2:8" x14ac:dyDescent="0.3">
      <c r="B30" s="62" t="s">
        <v>274</v>
      </c>
      <c r="F30" s="53" t="s">
        <v>275</v>
      </c>
      <c r="H30" s="103" t="s">
        <v>276</v>
      </c>
    </row>
    <row r="31" spans="2:8" x14ac:dyDescent="0.3">
      <c r="B31" s="62" t="s">
        <v>277</v>
      </c>
      <c r="F31" s="55" t="s">
        <v>278</v>
      </c>
      <c r="H31" s="104" t="s">
        <v>279</v>
      </c>
    </row>
    <row r="32" spans="2:8" x14ac:dyDescent="0.3">
      <c r="B32" s="62" t="s">
        <v>280</v>
      </c>
      <c r="F32" s="53" t="s">
        <v>281</v>
      </c>
      <c r="H32" s="65" t="s">
        <v>282</v>
      </c>
    </row>
    <row r="33" spans="2:8" x14ac:dyDescent="0.3">
      <c r="B33" s="62" t="s">
        <v>283</v>
      </c>
      <c r="F33" s="55" t="s">
        <v>284</v>
      </c>
      <c r="H33" s="65" t="s">
        <v>285</v>
      </c>
    </row>
    <row r="34" spans="2:8" x14ac:dyDescent="0.3">
      <c r="B34" s="62" t="s">
        <v>286</v>
      </c>
      <c r="F34" s="53" t="s">
        <v>287</v>
      </c>
      <c r="H34" s="106" t="s">
        <v>288</v>
      </c>
    </row>
    <row r="35" spans="2:8" x14ac:dyDescent="0.3">
      <c r="B35" s="62" t="s">
        <v>289</v>
      </c>
      <c r="F35" s="55" t="s">
        <v>290</v>
      </c>
      <c r="H35" s="105" t="s">
        <v>291</v>
      </c>
    </row>
    <row r="36" spans="2:8" x14ac:dyDescent="0.3">
      <c r="B36" s="62" t="s">
        <v>292</v>
      </c>
      <c r="F36" s="53" t="s">
        <v>293</v>
      </c>
      <c r="H36" s="96" t="s">
        <v>294</v>
      </c>
    </row>
    <row r="37" spans="2:8" x14ac:dyDescent="0.3">
      <c r="B37" s="62" t="s">
        <v>295</v>
      </c>
      <c r="F37" s="53" t="s">
        <v>296</v>
      </c>
      <c r="H37" s="65" t="s">
        <v>297</v>
      </c>
    </row>
    <row r="38" spans="2:8" x14ac:dyDescent="0.3">
      <c r="B38" s="62" t="s">
        <v>298</v>
      </c>
      <c r="F38" s="53" t="s">
        <v>107</v>
      </c>
      <c r="H38" s="103" t="s">
        <v>299</v>
      </c>
    </row>
    <row r="39" spans="2:8" x14ac:dyDescent="0.3">
      <c r="B39" s="62" t="s">
        <v>300</v>
      </c>
      <c r="F39" s="53" t="s">
        <v>301</v>
      </c>
      <c r="H39" s="105" t="s">
        <v>302</v>
      </c>
    </row>
    <row r="40" spans="2:8" x14ac:dyDescent="0.3">
      <c r="B40" s="62" t="s">
        <v>303</v>
      </c>
      <c r="H40" s="106" t="s">
        <v>304</v>
      </c>
    </row>
    <row r="41" spans="2:8" x14ac:dyDescent="0.3">
      <c r="B41" s="60"/>
      <c r="D41" s="61"/>
      <c r="H41" s="66" t="s">
        <v>305</v>
      </c>
    </row>
    <row r="42" spans="2:8" x14ac:dyDescent="0.3">
      <c r="B42" s="58"/>
      <c r="H42" s="103" t="s">
        <v>306</v>
      </c>
    </row>
    <row r="43" spans="2:8" x14ac:dyDescent="0.3">
      <c r="H43" s="105" t="s">
        <v>307</v>
      </c>
    </row>
    <row r="44" spans="2:8" ht="27.6" x14ac:dyDescent="0.3">
      <c r="B44" s="59"/>
      <c r="H44" s="103" t="s">
        <v>308</v>
      </c>
    </row>
    <row r="45" spans="2:8" x14ac:dyDescent="0.3">
      <c r="H45" s="65" t="s">
        <v>309</v>
      </c>
    </row>
    <row r="46" spans="2:8" x14ac:dyDescent="0.3">
      <c r="H46" s="107" t="s">
        <v>310</v>
      </c>
    </row>
    <row r="47" spans="2:8" x14ac:dyDescent="0.3">
      <c r="B47" s="59"/>
      <c r="H47" s="106" t="s">
        <v>311</v>
      </c>
    </row>
    <row r="48" spans="2:8" x14ac:dyDescent="0.3">
      <c r="H48" s="108" t="s">
        <v>1</v>
      </c>
    </row>
    <row r="49" spans="8:8" x14ac:dyDescent="0.3">
      <c r="H49" s="94" t="s">
        <v>312</v>
      </c>
    </row>
    <row r="50" spans="8:8" x14ac:dyDescent="0.3">
      <c r="H50" s="101" t="s">
        <v>313</v>
      </c>
    </row>
    <row r="51" spans="8:8" x14ac:dyDescent="0.3">
      <c r="H51" s="105" t="s">
        <v>314</v>
      </c>
    </row>
    <row r="52" spans="8:8" x14ac:dyDescent="0.3">
      <c r="H52" s="66" t="s">
        <v>315</v>
      </c>
    </row>
    <row r="53" spans="8:8" x14ac:dyDescent="0.3">
      <c r="H53" s="106" t="s">
        <v>316</v>
      </c>
    </row>
    <row r="54" spans="8:8" x14ac:dyDescent="0.3">
      <c r="H54" s="66" t="s">
        <v>317</v>
      </c>
    </row>
    <row r="55" spans="8:8" x14ac:dyDescent="0.3">
      <c r="H55" s="106" t="s">
        <v>318</v>
      </c>
    </row>
    <row r="56" spans="8:8" x14ac:dyDescent="0.3">
      <c r="H56" s="66" t="s">
        <v>319</v>
      </c>
    </row>
    <row r="57" spans="8:8" x14ac:dyDescent="0.3">
      <c r="H57" s="106" t="s">
        <v>320</v>
      </c>
    </row>
    <row r="58" spans="8:8" x14ac:dyDescent="0.3">
      <c r="H58" s="65" t="s">
        <v>321</v>
      </c>
    </row>
    <row r="59" spans="8:8" x14ac:dyDescent="0.3">
      <c r="H59" s="106" t="s">
        <v>322</v>
      </c>
    </row>
    <row r="60" spans="8:8" x14ac:dyDescent="0.3">
      <c r="H60" s="65" t="s">
        <v>323</v>
      </c>
    </row>
    <row r="61" spans="8:8" x14ac:dyDescent="0.3">
      <c r="H61" s="109" t="s">
        <v>324</v>
      </c>
    </row>
    <row r="62" spans="8:8" x14ac:dyDescent="0.3">
      <c r="H62" s="103" t="s">
        <v>325</v>
      </c>
    </row>
    <row r="63" spans="8:8" x14ac:dyDescent="0.3">
      <c r="H63" s="106" t="s">
        <v>326</v>
      </c>
    </row>
    <row r="64" spans="8:8" x14ac:dyDescent="0.3">
      <c r="H64" s="105" t="s">
        <v>327</v>
      </c>
    </row>
    <row r="65" spans="8:8" x14ac:dyDescent="0.3">
      <c r="H65" s="103" t="s">
        <v>328</v>
      </c>
    </row>
    <row r="66" spans="8:8" x14ac:dyDescent="0.3">
      <c r="H66" s="66" t="s">
        <v>329</v>
      </c>
    </row>
    <row r="67" spans="8:8" x14ac:dyDescent="0.3">
      <c r="H67" s="106" t="s">
        <v>330</v>
      </c>
    </row>
    <row r="68" spans="8:8" x14ac:dyDescent="0.3">
      <c r="H68" s="110" t="s">
        <v>331</v>
      </c>
    </row>
    <row r="69" spans="8:8" x14ac:dyDescent="0.3">
      <c r="H69" s="65" t="s">
        <v>332</v>
      </c>
    </row>
    <row r="70" spans="8:8" x14ac:dyDescent="0.3">
      <c r="H70" s="104" t="s">
        <v>333</v>
      </c>
    </row>
    <row r="71" spans="8:8" x14ac:dyDescent="0.3">
      <c r="H71" s="65" t="s">
        <v>334</v>
      </c>
    </row>
    <row r="72" spans="8:8" x14ac:dyDescent="0.3">
      <c r="H72" s="104" t="s">
        <v>335</v>
      </c>
    </row>
  </sheetData>
  <sortState xmlns:xlrd2="http://schemas.microsoft.com/office/spreadsheetml/2017/richdata2" ref="B5:B87">
    <sortCondition ref="B87"/>
  </sortState>
  <pageMargins left="0.7" right="0.7" top="0.75" bottom="0.75" header="0.3" footer="0.3"/>
  <headerFooter>
    <oddFooter>&amp;L_x000D_&amp;1#&amp;"Calibri"&amp;8&amp;K000000 Classified as Confidential</oddFooter>
  </headerFooter>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277ce56-8de3-43c1-b9ce-ff5033dad840">
      <Terms xmlns="http://schemas.microsoft.com/office/infopath/2007/PartnerControls"/>
    </lcf76f155ced4ddcb4097134ff3c332f>
    <TaxCatchAll xmlns="0b8b2123-f09a-47bf-9044-f6e489c8d7a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EA673424E99D044B4A1FB44474552A9" ma:contentTypeVersion="11" ma:contentTypeDescription="Create a new document." ma:contentTypeScope="" ma:versionID="541cb6b9fee9288be1513af1acd9efd1">
  <xsd:schema xmlns:xsd="http://www.w3.org/2001/XMLSchema" xmlns:xs="http://www.w3.org/2001/XMLSchema" xmlns:p="http://schemas.microsoft.com/office/2006/metadata/properties" xmlns:ns2="d277ce56-8de3-43c1-b9ce-ff5033dad840" xmlns:ns3="0b8b2123-f09a-47bf-9044-f6e489c8d7a1" targetNamespace="http://schemas.microsoft.com/office/2006/metadata/properties" ma:root="true" ma:fieldsID="073d35413c2933ae4492be48b3c2f5c2" ns2:_="" ns3:_="">
    <xsd:import namespace="d277ce56-8de3-43c1-b9ce-ff5033dad840"/>
    <xsd:import namespace="0b8b2123-f09a-47bf-9044-f6e489c8d7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77ce56-8de3-43c1-b9ce-ff5033dad8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cce2594-6122-4e3a-901b-0eca72ea527c"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b8b2123-f09a-47bf-9044-f6e489c8d7a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baeda32-f816-49b3-b408-e16626ce47b5}" ma:internalName="TaxCatchAll" ma:showField="CatchAllData" ma:web="0b8b2123-f09a-47bf-9044-f6e489c8d7a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1A68DD4-CE75-47F4-8D96-57FE199604E1}">
  <ds:schemaRefs>
    <ds:schemaRef ds:uri="http://schemas.microsoft.com/office/2006/metadata/properties"/>
    <ds:schemaRef ds:uri="http://schemas.microsoft.com/office/infopath/2007/PartnerControls"/>
    <ds:schemaRef ds:uri="d277ce56-8de3-43c1-b9ce-ff5033dad840"/>
    <ds:schemaRef ds:uri="0b8b2123-f09a-47bf-9044-f6e489c8d7a1"/>
  </ds:schemaRefs>
</ds:datastoreItem>
</file>

<file path=customXml/itemProps2.xml><?xml version="1.0" encoding="utf-8"?>
<ds:datastoreItem xmlns:ds="http://schemas.openxmlformats.org/officeDocument/2006/customXml" ds:itemID="{9B5B5171-232C-48CB-AB15-F857C58B9651}">
  <ds:schemaRefs>
    <ds:schemaRef ds:uri="http://schemas.microsoft.com/sharepoint/v3/contenttype/forms"/>
  </ds:schemaRefs>
</ds:datastoreItem>
</file>

<file path=customXml/itemProps3.xml><?xml version="1.0" encoding="utf-8"?>
<ds:datastoreItem xmlns:ds="http://schemas.openxmlformats.org/officeDocument/2006/customXml" ds:itemID="{10AFEF5C-F9C7-4BE7-A759-9952377D3D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77ce56-8de3-43c1-b9ce-ff5033dad840"/>
    <ds:schemaRef ds:uri="0b8b2123-f09a-47bf-9044-f6e489c8d7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138fff4-6130-46cf-adb5-ec5d984d54d5}" enabled="1" method="Privileged" siteId="{174c7352-9c5c-4558-b848-be140b444e7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Apr</vt:lpstr>
      <vt:lpstr>Expense Claim</vt:lpstr>
      <vt:lpstr>Leave</vt:lpstr>
      <vt:lpstr>Key</vt:lpstr>
      <vt:lpstr>Consultant</vt:lpstr>
      <vt:lpstr>tblTime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Zanele Khumalo</dc:creator>
  <cp:keywords/>
  <dc:description/>
  <cp:lastModifiedBy>Neo Motaung</cp:lastModifiedBy>
  <cp:revision/>
  <dcterms:created xsi:type="dcterms:W3CDTF">2020-04-02T09:04:10Z</dcterms:created>
  <dcterms:modified xsi:type="dcterms:W3CDTF">2025-06-03T13:51:37Z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0x010100DEA673424E99D044B4A1FB44474552A9</vt:lpwstr>
  </property>
  <property fmtid="{D5CDD505-2E9C-101B-9397-08002B2CF9AE}" pid="3" name="MediaServiceImageTags">
    <vt:lpwstr/>
  </property>
</Properties>
</file>
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https://northerndata-my.sharepoint.com/personal/neo_motaung_sambeconsulting_com/Documents/Documents/Timesheets/Neo/"/>
    </mc:Choice>
  </mc:AlternateContent>
  <xr:revisionPtr revIDLastSave="10" documentId="8_{749B1D70-CA9B-4A7C-989C-99A32664D80F}" xr6:coauthVersionLast="47" xr6:coauthVersionMax="47" xr10:uidLastSave="{4D97D28D-6597-4E75-96DE-8B27A4C74EFD}"/>
  <bookViews>
    <workbookView xWindow="-108" yWindow="-108" windowWidth="23256" windowHeight="12456" activeTab="3" xr2:uid="{1C8F8026-B005-4B08-94D3-371A77F74D8F}"/>
  </bookViews>
  <sheets>
    <sheet name="Mar" sheetId="6" r:id="rId1"/>
    <sheet name="Expense Claim" sheetId="8" r:id="rId2"/>
    <sheet name="Leave" sheetId="9" r:id="rId3"/>
    <sheet name="Key" sheetId="2" r:id="rId4"/>
  </sheets>
  <definedNames>
    <definedName name="Clients">Key!$B$2:$B$40</definedName>
    <definedName name="Consultant">Mar!$A$5:$B$5</definedName>
    <definedName name="Description">ProjectTable[[#All],[Description]]</definedName>
    <definedName name="Leaves">Leave!$A$10:$F$13</definedName>
    <definedName name="tblTime">Mar!$A$8:$J$128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24" i="6" l="1"/>
  <c r="H125" i="6"/>
  <c r="H126" i="6"/>
  <c r="H127" i="6"/>
  <c r="H128" i="6"/>
  <c r="H121" i="6"/>
  <c r="H120" i="6"/>
  <c r="H119" i="6"/>
  <c r="H118" i="6"/>
  <c r="H116" i="6"/>
  <c r="H115" i="6"/>
  <c r="H114" i="6"/>
  <c r="H113" i="6"/>
  <c r="H112" i="6"/>
  <c r="H111" i="6"/>
  <c r="H109" i="6"/>
  <c r="H108" i="6"/>
  <c r="H107" i="6"/>
  <c r="H106" i="6"/>
  <c r="H104" i="6"/>
  <c r="H103" i="6"/>
  <c r="H102" i="6"/>
  <c r="H101" i="6"/>
  <c r="H96" i="6"/>
  <c r="H97" i="6"/>
  <c r="H98" i="6"/>
  <c r="H99" i="6"/>
  <c r="H82" i="6"/>
  <c r="H91" i="6"/>
  <c r="H90" i="6"/>
  <c r="H89" i="6"/>
  <c r="H88" i="6"/>
  <c r="H87" i="6"/>
  <c r="H86" i="6"/>
  <c r="H84" i="6"/>
  <c r="H83" i="6"/>
  <c r="H81" i="6"/>
  <c r="H80" i="6"/>
  <c r="H78" i="6"/>
  <c r="H77" i="6"/>
  <c r="H76" i="6"/>
  <c r="H75" i="6"/>
  <c r="H73" i="6"/>
  <c r="H72" i="6"/>
  <c r="H71" i="6"/>
  <c r="H70" i="6"/>
  <c r="H66" i="6"/>
  <c r="H65" i="6"/>
  <c r="H64" i="6"/>
  <c r="H63" i="6"/>
  <c r="H62" i="6"/>
  <c r="H60" i="6"/>
  <c r="H59" i="6"/>
  <c r="H58" i="6"/>
  <c r="H57" i="6"/>
  <c r="H55" i="6"/>
  <c r="H54" i="6"/>
  <c r="H53" i="6"/>
  <c r="H52" i="6"/>
  <c r="H50" i="6"/>
  <c r="H49" i="6"/>
  <c r="H48" i="6"/>
  <c r="H47" i="6"/>
  <c r="H45" i="6"/>
  <c r="H56" i="6"/>
  <c r="H61" i="6"/>
  <c r="H67" i="6"/>
  <c r="H44" i="6"/>
  <c r="H43" i="6"/>
  <c r="H42" i="6"/>
  <c r="H41" i="6"/>
  <c r="H40" i="6"/>
  <c r="H39" i="6"/>
  <c r="H38" i="6"/>
  <c r="H34" i="6"/>
  <c r="H33" i="6"/>
  <c r="H32" i="6"/>
  <c r="H30" i="6"/>
  <c r="H29" i="6"/>
  <c r="H28" i="6"/>
  <c r="H27" i="6"/>
  <c r="H26" i="6"/>
  <c r="H25" i="6"/>
  <c r="H23" i="6"/>
  <c r="H22" i="6"/>
  <c r="H20" i="6"/>
  <c r="H19" i="6"/>
  <c r="H18" i="6"/>
  <c r="H17" i="6"/>
  <c r="H12" i="6"/>
  <c r="H13" i="6"/>
  <c r="H14" i="6"/>
  <c r="H15" i="6"/>
  <c r="D14" i="9"/>
  <c r="F17" i="8"/>
  <c r="B6" i="8" s="1"/>
  <c r="H9" i="6" l="1"/>
  <c r="H21" i="6" l="1"/>
  <c r="H24" i="6"/>
  <c r="H31" i="6"/>
  <c r="H35" i="6"/>
  <c r="H36" i="6"/>
  <c r="H37" i="6"/>
  <c r="H46" i="6"/>
  <c r="H51" i="6"/>
  <c r="H68" i="6"/>
  <c r="H69" i="6"/>
  <c r="H74" i="6"/>
  <c r="H79" i="6"/>
  <c r="H85" i="6"/>
  <c r="H92" i="6"/>
  <c r="H93" i="6"/>
  <c r="H94" i="6"/>
  <c r="H95" i="6"/>
  <c r="H100" i="6"/>
  <c r="H105" i="6"/>
  <c r="H110" i="6"/>
  <c r="H117" i="6"/>
  <c r="H10" i="6" l="1"/>
  <c r="H11" i="6"/>
  <c r="F130" i="6"/>
  <c r="H16" i="6"/>
  <c r="F134" i="6" s="1"/>
  <c r="F133" i="6" l="1"/>
  <c r="F135" i="6" s="1"/>
  <c r="B6" i="6" l="1"/>
</calcChain>
</file>

<file path=xl/sharedStrings.xml><?xml version="1.0" encoding="utf-8"?>
<sst xmlns="http://schemas.openxmlformats.org/spreadsheetml/2006/main" count="858" uniqueCount="310">
  <si>
    <t>Consultant</t>
  </si>
  <si>
    <t>Neo</t>
  </si>
  <si>
    <t>Total Billable Hours</t>
  </si>
  <si>
    <t>Date</t>
  </si>
  <si>
    <t>D of Week</t>
  </si>
  <si>
    <t>Client</t>
  </si>
  <si>
    <t>Client Project Name</t>
  </si>
  <si>
    <t>Description</t>
  </si>
  <si>
    <t>Billable or Non Billable</t>
  </si>
  <si>
    <t>Comments</t>
  </si>
  <si>
    <t>Total Hours</t>
  </si>
  <si>
    <t>Start Time</t>
  </si>
  <si>
    <t>End Time</t>
  </si>
  <si>
    <t>Saturday</t>
  </si>
  <si>
    <t>Sunday</t>
  </si>
  <si>
    <t>Monday</t>
  </si>
  <si>
    <t>Discovery</t>
  </si>
  <si>
    <t>Discovery Induction</t>
  </si>
  <si>
    <t>Events</t>
  </si>
  <si>
    <t>Non-Billable</t>
  </si>
  <si>
    <t>Welcome &amp; Orientation</t>
  </si>
  <si>
    <t>Discovery People Presentations</t>
  </si>
  <si>
    <t>WOW Expo</t>
  </si>
  <si>
    <t>Amazing Race</t>
  </si>
  <si>
    <t>Internal Sambe</t>
  </si>
  <si>
    <t>Graduate Programme</t>
  </si>
  <si>
    <t>Meeting</t>
  </si>
  <si>
    <t>Meeting with Bongani and Clement Talking about ngrok and github</t>
  </si>
  <si>
    <t>Tuesday</t>
  </si>
  <si>
    <t>Back in Action presentation</t>
  </si>
  <si>
    <t>Registration and briefing for Excursion</t>
  </si>
  <si>
    <t>Force for good Excursion</t>
  </si>
  <si>
    <t>Return and close-off</t>
  </si>
  <si>
    <t>Meeting with Bongani and Clement. We discussed Github, IT terms such as latency, throughput and bandwidth. The Some of the people who went to discovery just briefed the rest on what we did.</t>
  </si>
  <si>
    <t>Wednesday</t>
  </si>
  <si>
    <t>Culture, purpose, values and the discovery story</t>
  </si>
  <si>
    <t>Values workshop. Each induction group did a brief presentation on how they interpret the Discovery values.</t>
  </si>
  <si>
    <t>Culture close-off</t>
  </si>
  <si>
    <t>Thursday</t>
  </si>
  <si>
    <t>Vitality presentation by Francis Bakos, global markets exec</t>
  </si>
  <si>
    <t>DSY Health presentation by Noluthando Nematswerani, Chief Clinical Officer</t>
  </si>
  <si>
    <t>DSY Bank presentation by Francois groepe, deputy chief exec officer</t>
  </si>
  <si>
    <t>DSY Insure presentation by Robert Attwell, Chief Exec Officer</t>
  </si>
  <si>
    <t>DSY Corp and Employee Benefits presentation by Nonku Pitje, CEO Corporate &amp; EB</t>
  </si>
  <si>
    <t>Vitality RSA Presentation by Dinehs Govender, Chief Exec Officer of Vitality</t>
  </si>
  <si>
    <t>Attended the afternoon stand up meeting with Bongani but I had joined late. The meeting was close to ending by the time I joined so for the remainder I just talked about my experience with Discovery so far and I was informed about the SQL Server Management Udemy course that we will be completing. When the meeting ended I had a call with Bongani for a 1-on-1</t>
  </si>
  <si>
    <t>Friday</t>
  </si>
  <si>
    <t>Gym &amp; Track tour. We jogged for a kilometer on the track with dynamic stretching warm-ups before. We then went to do a health check. Tests included weight, height, sugar level, cholestorol, blood pressure and HIV</t>
  </si>
  <si>
    <t>Vitality in action presentation by Dr. Avi Joseph, Product Specialist</t>
  </si>
  <si>
    <t>Ethics workshop by Moshe Makgaretse</t>
  </si>
  <si>
    <t>Afternoon stand up meeting with Bongani and Clement. We briefly discussed the project, when we should complete the udemy course by, how the udemy courses will work and that we should prioritise completing the course instead of the other tasks for now. Those who attended Discovery just gave a brief summary of our experiences during the week.</t>
  </si>
  <si>
    <t>Admin</t>
  </si>
  <si>
    <t>Morning roll-call, checking emails and task management</t>
  </si>
  <si>
    <t>Morning stand up meeting with Clement. We were asked how we were then we were told to close previous work and solely focus on the Udemy course. We left early to prep for the interview</t>
  </si>
  <si>
    <t>Interview slot began at 9 am. My time slot was at 9:30 but was delayed to 9:37. The interview was brief, only taking 10 minutes. Angela, Thabo Modise and Nomaswazi from Hollard were in attendance</t>
  </si>
  <si>
    <t>Training</t>
  </si>
  <si>
    <t>Started with the SQL Server Management Udemy course</t>
  </si>
  <si>
    <t>Check up meeting with Clement where we were introduced to another course: In-depth guide to GitHub pipelines. We were told that the SQL course is to be completed this Friday (14/03) then the github actions course is to be completed next Friday (21/03)</t>
  </si>
  <si>
    <t>Brief meeting with Shaila discussing career opportunities beyond the graduate programme and what I might expect during the duration of the programme</t>
  </si>
  <si>
    <t>Meeting with Angela showing us how to accurately capture and format our timesheets.</t>
  </si>
  <si>
    <t xml:space="preserve">Meeting with Bongani and Clement. We were given a stern talking to about the pace at which we were </t>
  </si>
  <si>
    <t>Morning check in with meeting checking our blockers and our plans for today. He asked us what our take away from yesterday was.</t>
  </si>
  <si>
    <t>Started the Udemy SQL course, went though the first and second sections of the course. The first course is just introductory and explains what data and relational databases are. The second section discusses setting up MSSQL server and hosting it on a VM (optional).</t>
  </si>
  <si>
    <t>After lunch I went through section 3 of the course, which showed us how to install SQL Server Management Studio and configure MSSQL server to SSMS</t>
  </si>
  <si>
    <t>Meeting with Bongani and Clement where we went through everyone's progress, their repositories and their personal boards. Then we discussed what are keys and the distinction between the primary key and foreign key.</t>
  </si>
  <si>
    <t>Morning check up meeting with Clement. Brief meeting just going through how each grad feels and our blockers.</t>
  </si>
  <si>
    <t xml:space="preserve">Went through section 4 and 5 of the course. Section 4 goes through the definitions of data and RDBMS's in depth, as well as keys, Transactions, the ACID properties and normalization. Section 5 goes through the SQL statements and the types of statements we can find such as Data Manipulation statements, Data definition statements etc. </t>
  </si>
  <si>
    <t>Check up meeting with Clement where we just went through each grads project. We were each expected to show our course project, documentation and GitHub repositories</t>
  </si>
  <si>
    <t>Started but did not complete section 6 of the course. It goes through specific SQL statements in detail such as SELECT, JOIN, GROUP BY, WHERE, HAVING etc. It also goes through views and temp tables.</t>
  </si>
  <si>
    <t>Afternoon stand up meeting with Bongani and Clement. We went through each of our progress then we discussed what the normalization forms are and how they work. We were also given accountability partners</t>
  </si>
  <si>
    <t>Morning check up meeting with Clement. We went through our blockers and how we are feeling so far.</t>
  </si>
  <si>
    <t>Went further on section 6. The rest of the section 6 content went into sub queries, INSERT, DELETE, Truncate, procedures and functions to name a few.</t>
  </si>
  <si>
    <t>Check up meeting with Clement showing our progress so far, showing our repositories, documentation and course progress.</t>
  </si>
  <si>
    <t>Went through section 4 and 5 of the course. Section 4 goes through the definitions of data and RDBMS's in depth, as well as keys, Transactions, the ACID properties and normalization. Section 5 goes through the SQL statements and the types of statements we</t>
  </si>
  <si>
    <t>Short afternoon meeting with Bongani and Clement cut short by the Dynamic SQL and Gen AI presentations. We discussed what views are and what their purpose is.</t>
  </si>
  <si>
    <t>Dynamic SQL and Gen AI presentations where most Sambe employees were in attendance. Certain sambe employees were presenting, discussing the differences Dynamic SQL has with Static SQL as well as its advantages and why it should be used. Then The Gen AI section discussed image generation, language translation and RAG technique using Azure AI Foundry.</t>
  </si>
  <si>
    <t>Morning check up meeting on Clement where we discussed how we were so far.</t>
  </si>
  <si>
    <t>Went through and completed section 7 of the course. Section 7 was less focused on SQL and more on configuration and the IT side of databases. It went through the connected default port of MSSQL, what the master, tempdb and msdb are. Best practises for system databases etc.</t>
  </si>
  <si>
    <t>Check up meeting with Clement where we just went through our progress and how to stay calm to handle a heavy workload.</t>
  </si>
  <si>
    <t>Revision on section 7 and practise. Sorting out my documentation and practical work to keep my notes in order.</t>
  </si>
  <si>
    <t>After noon stand up meeting with Bongani and Clement. We discussed what Fixed and Growth mindsets are at length and what distinguishes them. We then talked about how one could shift their mindset so that they could be open to growth.</t>
  </si>
  <si>
    <t>Morning check up meeting with Clement. He asked us how our weekends were, any blockers we had and our progress in the SQL course. We were informed that the course due date is delayed to the 19th and the GitHub course is delayed to the 24th.</t>
  </si>
  <si>
    <t>Concluded section 8 of the SQL course and started section 9.</t>
  </si>
  <si>
    <t>Progress report with Clement. We were asked to go through our Git bash, course progress, github repositories and documentation on Confluence</t>
  </si>
  <si>
    <t>Further went through section 9 of the SQL Admin course. I went through database back ups, the types of back ups and how to restore and recover database back ups.</t>
  </si>
  <si>
    <t>Afternoon check up meeting with Clement and Bongani. We were asked about progress and then discussed certain topics in the course, namely the types of SQL languages (DDL, DML etc.), transactions, Views, Operators and Joins.</t>
  </si>
  <si>
    <t>Morning stand up meeting with Clement. We were asked about our progress on the course and any blockers we may have.</t>
  </si>
  <si>
    <t>I managed to complete section 9 after hours yesterday and go through section 10 so I completed section 10 and went through and concluded section 11 during this period. For the remainder of the time I continued to record my notes for my documentation.</t>
  </si>
  <si>
    <t>Progress report with Clement. We had to show our course progress, git bash logs, github repositories and confluence.</t>
  </si>
  <si>
    <t xml:space="preserve">Started section 12 and went through the section until the meeting. The section covered advanced topics like security and encryption in SQL server, Log shipping, query tuning etc. </t>
  </si>
  <si>
    <t>Afternoon stand up meeting with Bongani and Clement. Lead by Pascal, we went through topics covered in the course such as Sub queries, Stored procedures, Indexes, Functions etc.</t>
  </si>
  <si>
    <t>Morning stand up meeting with Clement. We were asked for blockers and whether we finished the course</t>
  </si>
  <si>
    <t>I concluded the entire course, acquired my certificate and updated my CV. For the remainder of the time I worked on The GitHub automation project</t>
  </si>
  <si>
    <t>Progress check with Clement. Today was the due date for course completion so we were just asked if we received our certificates, how we felt finishing and our take aways from the course. We were then given a further explanation on what is expected of us from the project and create a personal MS Teams Team and channel to test our project</t>
  </si>
  <si>
    <t>Research on GitHub actions to figure out how to progress the project</t>
  </si>
  <si>
    <t>Started the GitHub actions course on Udemy and worked further on the project. I was able to figure out a way to send Pull Requests to the Teams channel</t>
  </si>
  <si>
    <t>Afternoon stand up meeting with Bongani and Clement. Lead by Paballo, we discussed the types of system databases such as Master, msdb and TempDB. We then discussed the encryption types for a database in SQL Server.</t>
  </si>
  <si>
    <t>Brief stand up meeting with Clement. We were just asked our blockers and we were given the greenlight to link our project to the Graduate Teams channel.</t>
  </si>
  <si>
    <t>Configured my project to the teams channel. I spent the rest of the time researching and tweaking with the workflow on GitHub to figure out a way for the action to send a notification on succesful pull requests.</t>
  </si>
  <si>
    <t>Brief progress check meeting with Clement. We were asked about any problems we've had with the project and if we were done. We then briefly talked about the github actions course.</t>
  </si>
  <si>
    <t>Spent the remaining time before the Way of Work meeting watching a few videos from the GitHub actions course. The ones I watched just went through branching, forks, and pull requests</t>
  </si>
  <si>
    <t>Way of Work meeting with Shaila and Angela. We were told about what working as a Consultant is like. We were then told what the process is like working on projects for external companies and the conduct we should follow at work and as graduates.</t>
  </si>
  <si>
    <t>Started and finished section 3 of the course. This section properly starts the main topic of the course which are GitHub actions. It goes through the basic building blocks of a .yml file that is used to script what the workflow actually does. What the format is and how to implement them. I tried to implement the practical work in between the videos.</t>
  </si>
  <si>
    <t>Afternoon stand up meeting with Clement and Bongani. It was more casual as we just talked about Bongani's past as a clothing brand founder.</t>
  </si>
  <si>
    <t>Public Holiday</t>
  </si>
  <si>
    <t>Human Rights Day</t>
  </si>
  <si>
    <t>Morning check up meeting with Clement. We were asked about our weekend, any blockers we may have faced and our progress on the GitHub actions course. We were given work for the week such as completing the SQL server exposure project, an SSRS project and an Excel for data analysis using pivot tables course on Udemy</t>
  </si>
  <si>
    <t>Completed the remainder of the GitHub actions course, I only had the some of section 9 and section 10 remaining. I practised github actions using a few .yml files and pushed them to my remote repository on GitHub.</t>
  </si>
  <si>
    <t>Check-in meeting with Clement. We were asked for our progress on the course as we were meant to have it complete today. A few of us were asked to show our screens to show our workflows and asked what some of our understandings of certain parts of the course were. We then briefly discussed the Server exposure project</t>
  </si>
  <si>
    <t>I restarted the project. I had to set up a .NET API on my machine and made certain configurations and changes to the code in the SQL server api code. I had run into issues regarding connection so I had to research them and find a solution. I was still unable to fix my problem</t>
  </si>
  <si>
    <t>Afternoon check up meeting with Clement and Bongani. We discussed GitHub workflows and the purpose of Pull requests and branches. We talked about how GitHub is used for larger projects and applications and why branching would be necessary. We were also encouraged to research the difference between forking and branching.</t>
  </si>
  <si>
    <t>Morning stand up meeting with Clement where we were asked about blockers and the progress with our project.</t>
  </si>
  <si>
    <t>I was finally able to usea tunnelling tool called Pinggy in order to expose my SQL Server. During this session I had began writing the YAML file for my workflow in order to create a database and tables and insert data remotely.</t>
  </si>
  <si>
    <t>Progress meeting with Clement. We presented our project progress to see how far we were. By this point we were all able to expose our SQL servers remotely but we needed to then set up our github actions.</t>
  </si>
  <si>
    <t>I was able to research and use generative AI tools in order to help me write an appropriate workflow that would access my SQL server and automate certain tasks.</t>
  </si>
  <si>
    <t>Afternoon stand up meeting with Bongani and Clement where we had to show our progress with our projects. We were instructed to work alongside our accountability partner in order to access their own SQL server and create the same database and visa versa. We were to distinguish the processes as Development for our own server and production for our AP's server</t>
  </si>
  <si>
    <t>Morning stand up meeting with Clement. We were just asked about our blockers and the progress on our work.</t>
  </si>
  <si>
    <t>I used this time creating the appropriate SQL scripts and altering them in order to have stored procedures and testing my workflow with different features and jobs.</t>
  </si>
  <si>
    <t>Progress check up meeting with Clement. Part one of the project was due so we all had to demonstrate our workflows and that they indeed were able to make changes to our SQL server.</t>
  </si>
  <si>
    <t>After this point, I briefly started with Excel and then I contacted my Accountability partner on how we should go about tackling part 2 of the project.</t>
  </si>
  <si>
    <t>Afternoon stand up meeting with Bongani and Clement. We were asked to show our projects to Bongani this time. We were also asked general questions regarding DevOps like what is containerizations and Docker and exactly what they are used for.</t>
  </si>
  <si>
    <t>Morning check in meeting with Clement. We were asked for any blockers and asked if we managed to do the work needed for the second half of the project.</t>
  </si>
  <si>
    <t>My accountability partner and I spent this period finishing off our work on the second part of the project and tested whether the changes reflected on each other's side and adding permissions.</t>
  </si>
  <si>
    <t>Progress meeting with Clement. The pairs were asked to present to Clement to show that our projects worked on both SQL servers. My AP and I's presentation did not go as planned due to the prolonged of execution and incorrect naming of databases. We were then asked to meet Clement briefly after lunch to re-present.</t>
  </si>
  <si>
    <t>Period just before the meeting where my AP and I spent our time testing the executions and making sure it worked</t>
  </si>
  <si>
    <t>Re-presentation meeting with Clement. The were only 3 pairs of us that needed to represent. Clement was able to see that our projects worked.</t>
  </si>
  <si>
    <t>I began working on the Excel udemy course given to us earlier this week. The first and second sessions went through an introduction and what Pivot tables really are, how to use them and what their purpose is.</t>
  </si>
  <si>
    <t>Afternoon meeting with Clement and Bongani. Some of us were chosen by Bongani to show that our projects actually worked along with the Dev and production environments. We concluded with the projects but he requested that whenever we had time that we add more functionality such as templating and try-catch error handling. He also encouraged us to research a little about data security, in particular: PII data and the Poppy Act</t>
  </si>
  <si>
    <t>Morning stand up with Clement. He asked us about our progress with the Udemy Excel course progress and our blockers. Just befo</t>
  </si>
  <si>
    <t>Went through the section 6 and just half of section 7 of the course. I used the time to complete tasks in the course to aid me as practise.</t>
  </si>
  <si>
    <t>Progress meeting with Clement. This session was just used to gauge how far are we with the Udemy course. The due date for the course was today so most of us were expected to be done, and in the last section of the course. Just before lunch I briefly met with Clement to confirm if he received my Leave approval from Angela.</t>
  </si>
  <si>
    <t>Continued and concluded section 7 and the final section of the course. Used the remainder of the time to finish off the practise exercises found in the course and push my work to GitHub</t>
  </si>
  <si>
    <t>Afternoon meeting with Bongani and Clement. We discussed Principles and their significance to our lives. We watched a video that he suggested about principles, self reflection and how to find success in life and engaged in a discussion regarding the video.</t>
  </si>
  <si>
    <t>Morning stand up meeting with Clement. He gave us what tasks that are to be completed this week such as a Soft Skills on-going course, a Transact SQL course and a Linux course for beginners on Udemy. We were also instructed to end our sprint and start a new one on Jira</t>
  </si>
  <si>
    <t>I started watching the videos for the Soft skills course and the linux course. I also made sure to install Ubuntu and double checked that my SSRS report server was functional.</t>
  </si>
  <si>
    <t>Progress check with Clement. He just asked us where we were with the soft skills course. He re-iterated that the soft skills course is to be done every morning immediately after the morning check up meeting for an hour per day and said that we can leave the transact SQL course in the backlog for now.</t>
  </si>
  <si>
    <t>I documented my SSRS report guide and my notes for the soft skills course. I watched a few more videos of the Linux course, reaching the second section.</t>
  </si>
  <si>
    <t>Afternoon meeting with Bongani and Clement. We went through each of our SSRS reports and Bongani gave us feedback. We were instructed to return with improved reports on Thursday and Bongani re-iterated that the soft skills course is to be done every morning for one hour per day as well.</t>
  </si>
  <si>
    <t>Forcasted Hours</t>
  </si>
  <si>
    <t>Forcasted Work Days this month</t>
  </si>
  <si>
    <t>Line Manager :</t>
  </si>
  <si>
    <t>Billable Hours</t>
  </si>
  <si>
    <t>Contractor:</t>
  </si>
  <si>
    <t>Non Billable Hours</t>
  </si>
  <si>
    <t>Total of All Hours</t>
  </si>
  <si>
    <t>Plus: Hours worked, not claimed</t>
  </si>
  <si>
    <t>Example</t>
  </si>
  <si>
    <t>Total Claim</t>
  </si>
  <si>
    <t>Details</t>
  </si>
  <si>
    <t>Month</t>
  </si>
  <si>
    <t>Expense Description</t>
  </si>
  <si>
    <t>Type</t>
  </si>
  <si>
    <t>ZAR COST</t>
  </si>
  <si>
    <t>Vodacom (Example line)</t>
  </si>
  <si>
    <t>Phone</t>
  </si>
  <si>
    <t xml:space="preserve">Do not add the R symbol when capturing the amount. Use the comma not the full stop. </t>
  </si>
  <si>
    <t>MTN (Example line)</t>
  </si>
  <si>
    <t>WiFi / Internet / Data</t>
  </si>
  <si>
    <t>Afrihost (Example line)</t>
  </si>
  <si>
    <t xml:space="preserve">TOTAL </t>
  </si>
  <si>
    <t>Date From</t>
  </si>
  <si>
    <t>Date To</t>
  </si>
  <si>
    <t>Please select applicable Leave and state number of days</t>
  </si>
  <si>
    <t>Type of Leave</t>
  </si>
  <si>
    <t>Start Date</t>
  </si>
  <si>
    <t>End Date</t>
  </si>
  <si>
    <t xml:space="preserve">Number of days </t>
  </si>
  <si>
    <t>Approval Obtained</t>
  </si>
  <si>
    <t>Sick Note</t>
  </si>
  <si>
    <t>Annual Leave</t>
  </si>
  <si>
    <t>Address and Telephone Number during Annual Leave</t>
  </si>
  <si>
    <t>Address: 25A Stone Haven Road, Paulshof, Johannesburg. Number: +27 78 490 1179</t>
  </si>
  <si>
    <t>Employee Signature</t>
  </si>
  <si>
    <t>N.M.</t>
  </si>
  <si>
    <t>Client Signature</t>
  </si>
  <si>
    <t>Work</t>
  </si>
  <si>
    <t>Resource</t>
  </si>
  <si>
    <t>Billable</t>
  </si>
  <si>
    <t>ADVTech</t>
  </si>
  <si>
    <t>Recording Cvs on Workbook Sheet</t>
  </si>
  <si>
    <t>.NET code</t>
  </si>
  <si>
    <t>Albert</t>
  </si>
  <si>
    <t>AFA Sasfin</t>
  </si>
  <si>
    <t>Placing Cvs in Templates</t>
  </si>
  <si>
    <t>Amanda</t>
  </si>
  <si>
    <t>Artist Proof Studio</t>
  </si>
  <si>
    <t>Screening</t>
  </si>
  <si>
    <t>Analysis</t>
  </si>
  <si>
    <t>Angela</t>
  </si>
  <si>
    <t>Assimil8 - AGA</t>
  </si>
  <si>
    <t>Headhunting</t>
  </si>
  <si>
    <t>Architecture</t>
  </si>
  <si>
    <t>Aubrey</t>
  </si>
  <si>
    <t>Base 3</t>
  </si>
  <si>
    <t>Interviews</t>
  </si>
  <si>
    <t>Avinash</t>
  </si>
  <si>
    <t>C. Steinweg</t>
  </si>
  <si>
    <t>Fixed Assets</t>
  </si>
  <si>
    <t>Configuration</t>
  </si>
  <si>
    <t>Beejal</t>
  </si>
  <si>
    <t>WiFi</t>
  </si>
  <si>
    <t>Conekt AGSA SharePoint</t>
  </si>
  <si>
    <t>Recruitment Work</t>
  </si>
  <si>
    <t>Cubes</t>
  </si>
  <si>
    <t>Bhavesh</t>
  </si>
  <si>
    <t>Conekt – Meridian</t>
  </si>
  <si>
    <t>Team Meeting</t>
  </si>
  <si>
    <t>Database</t>
  </si>
  <si>
    <t>Bihaag</t>
  </si>
  <si>
    <t>Conekt – Altron - AGSA</t>
  </si>
  <si>
    <t>Recruitment team meeting</t>
  </si>
  <si>
    <t>Demo</t>
  </si>
  <si>
    <t>Boaz</t>
  </si>
  <si>
    <t>Yes</t>
  </si>
  <si>
    <t>Conekt – Clientele</t>
  </si>
  <si>
    <t>Deployment</t>
  </si>
  <si>
    <t>Charles</t>
  </si>
  <si>
    <t>No</t>
  </si>
  <si>
    <t>Conekt – Winning Business</t>
  </si>
  <si>
    <t>Design</t>
  </si>
  <si>
    <t>Clement</t>
  </si>
  <si>
    <t>Conekt – Internal Meeting</t>
  </si>
  <si>
    <t>Documentation</t>
  </si>
  <si>
    <t xml:space="preserve">David </t>
  </si>
  <si>
    <t>Dentons</t>
  </si>
  <si>
    <t>Diederik</t>
  </si>
  <si>
    <t>ETL</t>
  </si>
  <si>
    <t>Diptendubala</t>
  </si>
  <si>
    <t>Discovery Information Governance and Security</t>
  </si>
  <si>
    <t>FrontEnd</t>
  </si>
  <si>
    <t>Edmond</t>
  </si>
  <si>
    <t>Discovery Bank</t>
  </si>
  <si>
    <t>Installing</t>
  </si>
  <si>
    <t>Elijah</t>
  </si>
  <si>
    <t>Discovery CSI</t>
  </si>
  <si>
    <t>Elrida</t>
  </si>
  <si>
    <t>Discovery Health</t>
  </si>
  <si>
    <t>Lunch</t>
  </si>
  <si>
    <t>Engelina</t>
  </si>
  <si>
    <t>Discovery People</t>
  </si>
  <si>
    <t>Other</t>
  </si>
  <si>
    <t>Eugene</t>
  </si>
  <si>
    <t xml:space="preserve">Discovery Skills </t>
  </si>
  <si>
    <t>Presenting</t>
  </si>
  <si>
    <t>Fayruz</t>
  </si>
  <si>
    <t>Discovery Vitality</t>
  </si>
  <si>
    <t>Project Management</t>
  </si>
  <si>
    <t>Hamerl</t>
  </si>
  <si>
    <t>Gyro</t>
  </si>
  <si>
    <t>Research</t>
  </si>
  <si>
    <t>Ian</t>
  </si>
  <si>
    <t>Healthforce</t>
  </si>
  <si>
    <t>Sales call</t>
  </si>
  <si>
    <t>Joseph</t>
  </si>
  <si>
    <t>KFC Digistics</t>
  </si>
  <si>
    <t>SharePoint</t>
  </si>
  <si>
    <t>Juan</t>
  </si>
  <si>
    <t>Medi-Charge</t>
  </si>
  <si>
    <t>Testing</t>
  </si>
  <si>
    <t>Kanelo</t>
  </si>
  <si>
    <t>MICA Build</t>
  </si>
  <si>
    <t>Travel</t>
  </si>
  <si>
    <t>Kavish</t>
  </si>
  <si>
    <t>Michelin</t>
  </si>
  <si>
    <t>Troubleshooting</t>
  </si>
  <si>
    <t>Lazarus</t>
  </si>
  <si>
    <t>Mistro Foods</t>
  </si>
  <si>
    <t>Waiting on client</t>
  </si>
  <si>
    <t>Lehlohonolo</t>
  </si>
  <si>
    <t>OK Furnitures</t>
  </si>
  <si>
    <t>Website content</t>
  </si>
  <si>
    <t>Lerato</t>
  </si>
  <si>
    <t>Olympic Paints</t>
  </si>
  <si>
    <t>Website and collateral</t>
  </si>
  <si>
    <t>Matsheliso</t>
  </si>
  <si>
    <t>RMB CM Data Warehouse support</t>
  </si>
  <si>
    <t xml:space="preserve">Ndivhudzannyi </t>
  </si>
  <si>
    <t>RMB CORE NRTI</t>
  </si>
  <si>
    <t>Sick leave</t>
  </si>
  <si>
    <t>Paulina</t>
  </si>
  <si>
    <t>RMB Liesha</t>
  </si>
  <si>
    <t>Study Leave</t>
  </si>
  <si>
    <t>Pranav</t>
  </si>
  <si>
    <t>RMB Tumelo</t>
  </si>
  <si>
    <t>Family Responsibility Leave</t>
  </si>
  <si>
    <t>Ravi</t>
  </si>
  <si>
    <t>Sachar Mobile</t>
  </si>
  <si>
    <t>Birthday leave</t>
  </si>
  <si>
    <t>Rivashan</t>
  </si>
  <si>
    <t>SBV</t>
  </si>
  <si>
    <t>Sahur</t>
  </si>
  <si>
    <t>Sibanya</t>
  </si>
  <si>
    <t>Sick Leave - half day</t>
  </si>
  <si>
    <t>Sanele</t>
  </si>
  <si>
    <t>Transport Holdings</t>
  </si>
  <si>
    <t>Sarah</t>
  </si>
  <si>
    <t>Shaila</t>
  </si>
  <si>
    <t>Shaylin</t>
  </si>
  <si>
    <t>Siemon</t>
  </si>
  <si>
    <t>Sonika</t>
  </si>
  <si>
    <t>Tatenda</t>
  </si>
  <si>
    <t>Timothy</t>
  </si>
  <si>
    <t>Tutu</t>
  </si>
  <si>
    <t>Vincent</t>
  </si>
  <si>
    <t>Yazeed</t>
  </si>
  <si>
    <t xml:space="preserve">Yugeshin </t>
  </si>
  <si>
    <t>Zola</t>
  </si>
  <si>
    <t>Karen</t>
  </si>
  <si>
    <t>Nagendra</t>
  </si>
  <si>
    <t>Tyson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</si>
</sst>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h]:mm"/>
    <numFmt numFmtId="165" formatCode="h:mm;@"/>
    <numFmt numFmtId="166" formatCode="_ [$R-1C09]\ * #,##0.00_ ;_ [$R-1C09]\ * \-#,##0.00_ ;_ [$R-1C09]\ * &quot;-&quot;??_ ;_ @_ "/>
    <numFmt numFmtId="167" formatCode="[$R-1C09]#,##0.00;\-[$R-1C09]#,##0.00"/>
  </numFmts>
  <fonts count="21" x14ac:knownFonts="1">
    <font>
      <sz val="11"/>
      <color theme="1"/>
      <name val="Tw Cen MT"/>
      <family val="2"/>
      <scheme val="minor"/>
    </font>
    <font>
      <b/>
      <sz val="11"/>
      <color theme="1"/>
      <name val="Tw Cen MT"/>
      <family val="2"/>
      <scheme val="minor"/>
    </font>
    <font>
      <b/>
      <sz val="10"/>
      <color theme="1"/>
      <name val="Tw Cen MT"/>
      <family val="2"/>
      <scheme val="minor"/>
    </font>
    <font>
      <sz val="10"/>
      <color theme="1"/>
      <name val="Tw Cen MT"/>
      <family val="2"/>
      <scheme val="minor"/>
    </font>
    <font>
      <sz val="10"/>
      <color theme="1"/>
      <name val="Verdana"/>
      <family val="2"/>
    </font>
    <font>
      <b/>
      <sz val="9"/>
      <name val="Tw Cen MT"/>
      <family val="2"/>
      <scheme val="minor"/>
    </font>
    <font>
      <b/>
      <sz val="11"/>
      <name val="Tw Cen MT"/>
      <family val="2"/>
      <scheme val="minor"/>
    </font>
    <font>
      <b/>
      <u/>
      <sz val="9"/>
      <name val="Tw Cen MT"/>
      <family val="2"/>
      <scheme val="minor"/>
    </font>
    <font>
      <b/>
      <sz val="9"/>
      <color indexed="12"/>
      <name val="Tw Cen MT"/>
      <family val="2"/>
      <scheme val="minor"/>
    </font>
    <font>
      <b/>
      <sz val="10"/>
      <name val="Tw Cen MT"/>
      <family val="2"/>
      <scheme val="minor"/>
    </font>
    <font>
      <sz val="8"/>
      <name val="Tw Cen MT"/>
      <family val="2"/>
      <scheme val="minor"/>
    </font>
    <font>
      <sz val="11"/>
      <color theme="1"/>
      <name val="Calibri"/>
      <family val="2"/>
    </font>
    <font>
      <b/>
      <sz val="10"/>
      <color theme="1"/>
      <name val="Verdana"/>
      <family val="2"/>
    </font>
    <font>
      <b/>
      <sz val="10"/>
      <color theme="0"/>
      <name val="Verdana"/>
      <family val="2"/>
    </font>
    <font>
      <b/>
      <sz val="11"/>
      <color theme="0"/>
      <name val="Calibri"/>
      <family val="2"/>
    </font>
    <font>
      <sz val="11"/>
      <color rgb="FF000000"/>
      <name val="Calibri"/>
      <family val="2"/>
    </font>
    <font>
      <b/>
      <u/>
      <sz val="11"/>
      <color theme="1"/>
      <name val="Calibri"/>
      <family val="2"/>
    </font>
    <font>
      <sz val="10"/>
      <color rgb="FF000000"/>
      <name val="Calibri"/>
      <family val="2"/>
    </font>
    <font>
      <sz val="10"/>
      <color theme="1"/>
      <name val="Calibri"/>
      <family val="2"/>
    </font>
    <font>
      <b/>
      <u/>
      <sz val="18"/>
      <color theme="1"/>
      <name val="Verdana"/>
      <family val="2"/>
    </font>
    <font>
      <u/>
      <sz val="10"/>
      <color theme="1"/>
      <name val="Verdana"/>
      <family val="2"/>
    </font>
  </fonts>
  <fills count="15">
    <fill>
      <patternFill patternType="none"/>
    </fill>
    <fill>
      <patternFill patternType="gray125"/>
    </fill>
    <fill>
      <patternFill patternType="solid">
        <fgColor rgb="FF92D050"/>
        <bgColor indexed="64"/>
      </patternFill>
    </fill>
    <fill>
      <patternFill patternType="solid">
        <fgColor theme="3" tint="0.59999389629810485"/>
        <bgColor indexed="64"/>
      </patternFill>
    </fill>
    <fill>
      <patternFill patternType="solid">
        <fgColor theme="4"/>
        <bgColor theme="4"/>
      </patternFill>
    </fill>
    <fill>
      <patternFill patternType="solid">
        <fgColor theme="0" tint="-0.14999847407452621"/>
        <bgColor indexed="64"/>
      </patternFill>
    </fill>
    <fill>
      <patternFill patternType="solid">
        <fgColor theme="0"/>
        <bgColor indexed="64"/>
      </patternFill>
    </fill>
    <fill>
      <patternFill patternType="solid">
        <fgColor theme="6" tint="0.59999389629810485"/>
        <bgColor indexed="64"/>
      </patternFill>
    </fill>
    <fill>
      <patternFill patternType="solid">
        <fgColor rgb="FFFFFFFF"/>
        <bgColor indexed="64"/>
      </patternFill>
    </fill>
    <fill>
      <patternFill patternType="solid">
        <fgColor rgb="FFDCE6F1"/>
        <bgColor indexed="64"/>
      </patternFill>
    </fill>
    <fill>
      <patternFill patternType="solid">
        <fgColor rgb="FFFFFFFF"/>
        <bgColor rgb="FFFFFFFF"/>
      </patternFill>
    </fill>
    <fill>
      <patternFill patternType="solid">
        <fgColor rgb="FFFFFF00"/>
        <bgColor indexed="64"/>
      </patternFill>
    </fill>
    <fill>
      <patternFill patternType="solid">
        <fgColor theme="4" tint="0.79998168889431442"/>
        <bgColor theme="4" tint="0.79998168889431442"/>
      </patternFill>
    </fill>
    <fill>
      <patternFill patternType="solid">
        <fgColor rgb="FFD8D8D8"/>
        <bgColor rgb="FFD8D8D8"/>
      </patternFill>
    </fill>
    <fill>
      <patternFill patternType="solid">
        <fgColor theme="4"/>
        <bgColor indexed="64"/>
      </patternFill>
    </fill>
  </fills>
  <borders count="46">
    <border>
      <left/>
      <right/>
      <top/>
      <bottom/>
      <diagonal/>
    </border>
    <border>
      <left style="medium">
        <color auto="1"/>
      </left>
      <right/>
      <top style="medium">
        <color auto="1"/>
      </top>
      <bottom/>
      <diagonal/>
    </border>
    <border>
      <left/>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medium">
        <color auto="1"/>
      </right>
      <top style="medium">
        <color auto="1"/>
      </top>
      <bottom/>
      <diagonal/>
    </border>
    <border>
      <left/>
      <right style="medium">
        <color indexed="64"/>
      </right>
      <top/>
      <bottom/>
      <diagonal/>
    </border>
    <border>
      <left style="medium">
        <color indexed="64"/>
      </left>
      <right/>
      <top/>
      <bottom/>
      <diagonal/>
    </border>
    <border>
      <left style="medium">
        <color theme="3"/>
      </left>
      <right style="medium">
        <color theme="3"/>
      </right>
      <top style="medium">
        <color theme="3"/>
      </top>
      <bottom style="medium">
        <color theme="3"/>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right/>
      <top style="medium">
        <color rgb="FF4D90FE"/>
      </top>
      <bottom/>
      <diagonal/>
    </border>
    <border>
      <left/>
      <right style="medium">
        <color rgb="FF4D90FE"/>
      </right>
      <top/>
      <bottom/>
      <diagonal/>
    </border>
    <border>
      <left/>
      <right style="medium">
        <color theme="3"/>
      </right>
      <top style="medium">
        <color theme="3"/>
      </top>
      <bottom style="medium">
        <color theme="3"/>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right style="medium">
        <color indexed="64"/>
      </right>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style="medium">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rgb="FF000000"/>
      </left>
      <right style="thin">
        <color rgb="FF000000"/>
      </right>
      <top style="thin">
        <color rgb="FF000000"/>
      </top>
      <bottom style="thin">
        <color rgb="FF000000"/>
      </bottom>
      <diagonal/>
    </border>
    <border>
      <left/>
      <right/>
      <top/>
      <bottom style="thin">
        <color theme="3"/>
      </bottom>
      <diagonal/>
    </border>
    <border>
      <left style="medium">
        <color rgb="FF000000"/>
      </left>
      <right style="medium">
        <color rgb="FF000000"/>
      </right>
      <top style="medium">
        <color rgb="FFCCCCCC"/>
      </top>
      <bottom style="medium">
        <color rgb="FF000000"/>
      </bottom>
      <diagonal/>
    </border>
    <border>
      <left style="thin">
        <color rgb="FF000000"/>
      </left>
      <right style="thin">
        <color rgb="FF000000"/>
      </right>
      <top style="thin">
        <color rgb="FF000000"/>
      </top>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style="thin">
        <color theme="4" tint="0.39997558519241921"/>
      </top>
      <bottom style="thin">
        <color indexed="64"/>
      </bottom>
      <diagonal/>
    </border>
  </borders>
  <cellStyleXfs count="1">
    <xf numFmtId="0" fontId="0" fillId="0" borderId="0"/>
  </cellStyleXfs>
  <cellXfs count="145">
    <xf numFmtId="0" fontId="0" fillId="0" borderId="0" xfId="0"/>
    <xf numFmtId="0" fontId="3" fillId="0" borderId="0" xfId="0" applyFont="1"/>
    <xf numFmtId="0" fontId="5" fillId="0" borderId="0" xfId="0" applyFont="1"/>
    <xf numFmtId="164" fontId="5" fillId="0" borderId="0" xfId="0" applyNumberFormat="1" applyFont="1"/>
    <xf numFmtId="0" fontId="5" fillId="0" borderId="0" xfId="0" applyFont="1" applyAlignment="1">
      <alignment horizontal="right"/>
    </xf>
    <xf numFmtId="0" fontId="3" fillId="0" borderId="1" xfId="0" applyFont="1" applyBorder="1"/>
    <xf numFmtId="0" fontId="2" fillId="0" borderId="8" xfId="0" applyFont="1" applyBorder="1" applyAlignment="1">
      <alignment horizontal="right" wrapText="1"/>
    </xf>
    <xf numFmtId="20" fontId="5" fillId="0" borderId="0" xfId="0" applyNumberFormat="1" applyFont="1"/>
    <xf numFmtId="0" fontId="3" fillId="0" borderId="3" xfId="0" applyFont="1" applyBorder="1"/>
    <xf numFmtId="0" fontId="3" fillId="0" borderId="5" xfId="0" applyFont="1" applyBorder="1" applyAlignment="1">
      <alignment horizontal="right" wrapText="1"/>
    </xf>
    <xf numFmtId="49" fontId="5" fillId="0" borderId="0" xfId="0" applyNumberFormat="1" applyFont="1" applyAlignment="1">
      <alignment vertical="top"/>
    </xf>
    <xf numFmtId="0" fontId="7" fillId="0" borderId="0" xfId="0" applyFont="1" applyAlignment="1">
      <alignment horizontal="left" vertical="top"/>
    </xf>
    <xf numFmtId="0" fontId="1" fillId="0" borderId="1" xfId="0" applyFont="1" applyBorder="1"/>
    <xf numFmtId="164" fontId="3" fillId="0" borderId="8" xfId="0" applyNumberFormat="1" applyFont="1" applyBorder="1" applyAlignment="1">
      <alignment horizontal="right" wrapText="1"/>
    </xf>
    <xf numFmtId="49" fontId="8" fillId="0" borderId="9" xfId="0" applyNumberFormat="1" applyFont="1" applyBorder="1" applyAlignment="1">
      <alignment vertical="top"/>
    </xf>
    <xf numFmtId="0" fontId="1" fillId="0" borderId="10" xfId="0" applyFont="1" applyBorder="1"/>
    <xf numFmtId="164" fontId="3" fillId="0" borderId="9" xfId="0" applyNumberFormat="1" applyFont="1" applyBorder="1" applyAlignment="1">
      <alignment horizontal="right" wrapText="1"/>
    </xf>
    <xf numFmtId="0" fontId="1" fillId="0" borderId="11" xfId="0" applyFont="1" applyBorder="1"/>
    <xf numFmtId="0" fontId="9" fillId="0" borderId="12" xfId="0" applyFont="1" applyBorder="1" applyAlignment="1">
      <alignment horizontal="left"/>
    </xf>
    <xf numFmtId="0" fontId="3" fillId="0" borderId="13" xfId="0" applyFont="1" applyBorder="1" applyAlignment="1">
      <alignment wrapText="1"/>
    </xf>
    <xf numFmtId="14" fontId="4" fillId="0" borderId="6" xfId="0" applyNumberFormat="1" applyFont="1" applyBorder="1"/>
    <xf numFmtId="0" fontId="4" fillId="0" borderId="0" xfId="0" applyFont="1"/>
    <xf numFmtId="0" fontId="13" fillId="4" borderId="14" xfId="0" applyFont="1" applyFill="1" applyBorder="1"/>
    <xf numFmtId="0" fontId="13" fillId="4" borderId="15" xfId="0" applyFont="1" applyFill="1" applyBorder="1"/>
    <xf numFmtId="0" fontId="13" fillId="4" borderId="15" xfId="0" applyFont="1" applyFill="1" applyBorder="1" applyAlignment="1">
      <alignment horizontal="center" wrapText="1"/>
    </xf>
    <xf numFmtId="0" fontId="4" fillId="0" borderId="6" xfId="0" applyFont="1" applyBorder="1"/>
    <xf numFmtId="0" fontId="4" fillId="0" borderId="6" xfId="0" applyFont="1" applyBorder="1" applyAlignment="1">
      <alignment wrapText="1"/>
    </xf>
    <xf numFmtId="165" fontId="4" fillId="0" borderId="6" xfId="0" applyNumberFormat="1" applyFont="1" applyBorder="1"/>
    <xf numFmtId="165" fontId="4" fillId="0" borderId="6" xfId="0" applyNumberFormat="1" applyFont="1" applyBorder="1" applyAlignment="1">
      <alignment wrapText="1"/>
    </xf>
    <xf numFmtId="14" fontId="4" fillId="3" borderId="6" xfId="0" applyNumberFormat="1" applyFont="1" applyFill="1" applyBorder="1"/>
    <xf numFmtId="0" fontId="4" fillId="3" borderId="6" xfId="0" applyFont="1" applyFill="1" applyBorder="1"/>
    <xf numFmtId="0" fontId="4" fillId="3" borderId="6" xfId="0" applyFont="1" applyFill="1" applyBorder="1" applyAlignment="1">
      <alignment wrapText="1"/>
    </xf>
    <xf numFmtId="165" fontId="4" fillId="3" borderId="6" xfId="0" applyNumberFormat="1" applyFont="1" applyFill="1" applyBorder="1"/>
    <xf numFmtId="165" fontId="4" fillId="3" borderId="6" xfId="0" applyNumberFormat="1" applyFont="1" applyFill="1" applyBorder="1" applyAlignment="1">
      <alignment wrapText="1"/>
    </xf>
    <xf numFmtId="165" fontId="12" fillId="0" borderId="0" xfId="0" applyNumberFormat="1" applyFont="1"/>
    <xf numFmtId="0" fontId="12" fillId="0" borderId="0" xfId="0" applyFont="1"/>
    <xf numFmtId="164" fontId="4" fillId="0" borderId="0" xfId="0" applyNumberFormat="1" applyFont="1"/>
    <xf numFmtId="0" fontId="4" fillId="0" borderId="13" xfId="0" applyFont="1" applyBorder="1" applyAlignment="1">
      <alignment wrapText="1"/>
    </xf>
    <xf numFmtId="0" fontId="4" fillId="0" borderId="0" xfId="0" applyFont="1" applyAlignment="1">
      <alignment wrapText="1"/>
    </xf>
    <xf numFmtId="0" fontId="4" fillId="0" borderId="0" xfId="0" applyFont="1" applyAlignment="1">
      <alignment horizontal="left"/>
    </xf>
    <xf numFmtId="0" fontId="13" fillId="4" borderId="15" xfId="0" applyFont="1" applyFill="1" applyBorder="1" applyAlignment="1">
      <alignment wrapText="1"/>
    </xf>
    <xf numFmtId="0" fontId="13" fillId="4" borderId="16" xfId="0" applyFont="1" applyFill="1" applyBorder="1" applyAlignment="1">
      <alignment horizontal="center" wrapText="1"/>
    </xf>
    <xf numFmtId="164" fontId="3" fillId="0" borderId="20" xfId="0" applyNumberFormat="1" applyFont="1" applyBorder="1" applyAlignment="1">
      <alignment wrapText="1"/>
    </xf>
    <xf numFmtId="0" fontId="2" fillId="0" borderId="0" xfId="0" applyFont="1"/>
    <xf numFmtId="14" fontId="4" fillId="0" borderId="0" xfId="0" applyNumberFormat="1" applyFont="1"/>
    <xf numFmtId="14" fontId="4" fillId="7" borderId="6" xfId="0" applyNumberFormat="1" applyFont="1" applyFill="1" applyBorder="1"/>
    <xf numFmtId="0" fontId="4" fillId="7" borderId="6" xfId="0" applyFont="1" applyFill="1" applyBorder="1"/>
    <xf numFmtId="0" fontId="4" fillId="7" borderId="6" xfId="0" applyFont="1" applyFill="1" applyBorder="1" applyAlignment="1">
      <alignment wrapText="1"/>
    </xf>
    <xf numFmtId="165" fontId="4" fillId="7" borderId="6" xfId="0" applyNumberFormat="1" applyFont="1" applyFill="1" applyBorder="1"/>
    <xf numFmtId="165" fontId="4" fillId="7" borderId="6" xfId="0" applyNumberFormat="1" applyFont="1" applyFill="1" applyBorder="1" applyAlignment="1">
      <alignment wrapText="1"/>
    </xf>
    <xf numFmtId="0" fontId="11" fillId="0" borderId="0" xfId="0" applyFont="1"/>
    <xf numFmtId="0" fontId="14" fillId="4" borderId="17" xfId="0" applyFont="1" applyFill="1" applyBorder="1"/>
    <xf numFmtId="0" fontId="11" fillId="0" borderId="17" xfId="0" applyFont="1" applyBorder="1"/>
    <xf numFmtId="0" fontId="15" fillId="9" borderId="18" xfId="0" applyFont="1" applyFill="1" applyBorder="1"/>
    <xf numFmtId="0" fontId="15" fillId="8" borderId="19" xfId="0" applyFont="1" applyFill="1" applyBorder="1"/>
    <xf numFmtId="0" fontId="15" fillId="8" borderId="0" xfId="0" applyFont="1" applyFill="1"/>
    <xf numFmtId="0" fontId="15" fillId="9" borderId="19" xfId="0" applyFont="1" applyFill="1" applyBorder="1"/>
    <xf numFmtId="0" fontId="15" fillId="9" borderId="0" xfId="0" applyFont="1" applyFill="1"/>
    <xf numFmtId="0" fontId="16" fillId="0" borderId="0" xfId="0" applyFont="1" applyAlignment="1">
      <alignment vertical="center"/>
    </xf>
    <xf numFmtId="0" fontId="11" fillId="0" borderId="0" xfId="0" applyFont="1" applyAlignment="1">
      <alignment vertical="center"/>
    </xf>
    <xf numFmtId="0" fontId="15" fillId="8" borderId="0" xfId="0" applyFont="1" applyFill="1" applyProtection="1">
      <protection locked="0"/>
    </xf>
    <xf numFmtId="0" fontId="15" fillId="9" borderId="0" xfId="0" applyFont="1" applyFill="1" applyProtection="1">
      <protection locked="0"/>
    </xf>
    <xf numFmtId="0" fontId="11" fillId="0" borderId="0" xfId="0" applyFont="1" applyProtection="1">
      <protection locked="0"/>
    </xf>
    <xf numFmtId="0" fontId="11" fillId="0" borderId="39" xfId="0" applyFont="1" applyBorder="1"/>
    <xf numFmtId="0" fontId="15" fillId="0" borderId="28" xfId="0" applyFont="1" applyBorder="1" applyAlignment="1">
      <alignment horizontal="left"/>
    </xf>
    <xf numFmtId="0" fontId="15" fillId="0" borderId="6" xfId="0" applyFont="1" applyBorder="1" applyAlignment="1">
      <alignment horizontal="left"/>
    </xf>
    <xf numFmtId="0" fontId="15" fillId="10" borderId="7" xfId="0" applyFont="1" applyFill="1" applyBorder="1" applyAlignment="1">
      <alignment horizontal="left"/>
    </xf>
    <xf numFmtId="0" fontId="15" fillId="9" borderId="40" xfId="0" applyFont="1" applyFill="1" applyBorder="1" applyAlignment="1">
      <alignment wrapText="1"/>
    </xf>
    <xf numFmtId="0" fontId="15" fillId="0" borderId="40" xfId="0" applyFont="1" applyBorder="1" applyAlignment="1">
      <alignment wrapText="1"/>
    </xf>
    <xf numFmtId="0" fontId="15" fillId="8" borderId="40" xfId="0" applyFont="1" applyFill="1" applyBorder="1" applyAlignment="1">
      <alignment wrapText="1"/>
    </xf>
    <xf numFmtId="0" fontId="15" fillId="0" borderId="40" xfId="0" applyFont="1" applyBorder="1" applyAlignment="1">
      <alignment horizontal="left"/>
    </xf>
    <xf numFmtId="0" fontId="17" fillId="13" borderId="38" xfId="0" applyFont="1" applyFill="1" applyBorder="1" applyAlignment="1">
      <alignment horizontal="left" wrapText="1" readingOrder="1"/>
    </xf>
    <xf numFmtId="0" fontId="17" fillId="0" borderId="38" xfId="0" applyFont="1" applyBorder="1" applyAlignment="1">
      <alignment horizontal="left"/>
    </xf>
    <xf numFmtId="0" fontId="17" fillId="0" borderId="38" xfId="0" applyFont="1" applyBorder="1"/>
    <xf numFmtId="0" fontId="18" fillId="0" borderId="38" xfId="0" applyFont="1" applyBorder="1" applyAlignment="1">
      <alignment vertical="center"/>
    </xf>
    <xf numFmtId="0" fontId="17" fillId="0" borderId="41" xfId="0" applyFont="1" applyBorder="1"/>
    <xf numFmtId="0" fontId="17" fillId="0" borderId="41" xfId="0" applyFont="1" applyBorder="1" applyAlignment="1">
      <alignment horizontal="left"/>
    </xf>
    <xf numFmtId="0" fontId="17" fillId="0" borderId="28" xfId="0" applyFont="1" applyBorder="1" applyAlignment="1">
      <alignment horizontal="left"/>
    </xf>
    <xf numFmtId="0" fontId="17" fillId="0" borderId="6" xfId="0" applyFont="1" applyBorder="1" applyAlignment="1">
      <alignment horizontal="left"/>
    </xf>
    <xf numFmtId="0" fontId="17" fillId="0" borderId="6" xfId="0" applyFont="1" applyBorder="1"/>
    <xf numFmtId="0" fontId="17" fillId="0" borderId="28" xfId="0" applyFont="1" applyBorder="1"/>
    <xf numFmtId="0" fontId="11" fillId="12" borderId="17" xfId="0" applyFont="1" applyFill="1" applyBorder="1"/>
    <xf numFmtId="164" fontId="4" fillId="2" borderId="0" xfId="0" applyNumberFormat="1" applyFont="1" applyFill="1" applyAlignment="1">
      <alignment wrapText="1"/>
    </xf>
    <xf numFmtId="14" fontId="4" fillId="0" borderId="10" xfId="0" applyNumberFormat="1" applyFont="1" applyBorder="1" applyAlignment="1">
      <alignment horizontal="right" vertical="center"/>
    </xf>
    <xf numFmtId="0" fontId="4" fillId="0" borderId="0" xfId="0" applyFont="1" applyAlignment="1">
      <alignment horizontal="left" vertical="center"/>
    </xf>
    <xf numFmtId="0" fontId="12" fillId="6" borderId="0" xfId="0" applyFont="1" applyFill="1" applyAlignment="1">
      <alignment horizontal="right" vertical="center"/>
    </xf>
    <xf numFmtId="166" fontId="12" fillId="5" borderId="24" xfId="0" applyNumberFormat="1" applyFont="1" applyFill="1" applyBorder="1" applyAlignment="1">
      <alignment horizontal="center" vertical="center"/>
    </xf>
    <xf numFmtId="167" fontId="4" fillId="0" borderId="27" xfId="0" applyNumberFormat="1" applyFont="1" applyBorder="1" applyAlignment="1">
      <alignment horizontal="center" vertical="center"/>
    </xf>
    <xf numFmtId="17" fontId="4" fillId="0" borderId="25" xfId="0" applyNumberFormat="1" applyFont="1" applyBorder="1" applyAlignment="1">
      <alignment horizontal="right" vertical="center"/>
    </xf>
    <xf numFmtId="0" fontId="12" fillId="0" borderId="0" xfId="0" applyFont="1" applyAlignment="1">
      <alignment vertical="center"/>
    </xf>
    <xf numFmtId="0" fontId="19" fillId="0" borderId="0" xfId="0" applyFont="1" applyAlignment="1">
      <alignment vertical="center"/>
    </xf>
    <xf numFmtId="166" fontId="4" fillId="2" borderId="0" xfId="0" applyNumberFormat="1" applyFont="1" applyFill="1" applyAlignment="1">
      <alignment vertical="center"/>
    </xf>
    <xf numFmtId="0" fontId="4" fillId="5" borderId="42" xfId="0" applyFont="1" applyFill="1" applyBorder="1" applyAlignment="1">
      <alignment horizontal="center" vertical="center"/>
    </xf>
    <xf numFmtId="166" fontId="4" fillId="5" borderId="5" xfId="0" applyNumberFormat="1" applyFont="1" applyFill="1" applyBorder="1" applyAlignment="1">
      <alignment horizontal="center" vertical="center"/>
    </xf>
    <xf numFmtId="0" fontId="4" fillId="0" borderId="0" xfId="0" applyFont="1" applyAlignment="1">
      <alignment vertical="center"/>
    </xf>
    <xf numFmtId="0" fontId="4" fillId="0" borderId="0" xfId="0" applyFont="1" applyAlignment="1">
      <alignment vertical="center" wrapText="1"/>
    </xf>
    <xf numFmtId="14" fontId="4" fillId="0" borderId="0" xfId="0" applyNumberFormat="1" applyFont="1" applyAlignment="1">
      <alignment vertical="center"/>
    </xf>
    <xf numFmtId="0" fontId="4" fillId="0" borderId="6" xfId="0" applyFont="1" applyBorder="1" applyAlignment="1">
      <alignment horizontal="center" vertical="center" wrapText="1"/>
    </xf>
    <xf numFmtId="0" fontId="4" fillId="0" borderId="12" xfId="0" applyFont="1" applyBorder="1" applyAlignment="1">
      <alignment horizontal="center" vertical="center" wrapText="1"/>
    </xf>
    <xf numFmtId="0" fontId="4" fillId="0" borderId="34" xfId="0" applyFont="1" applyBorder="1" applyAlignment="1">
      <alignment horizontal="center" vertical="center" wrapText="1"/>
    </xf>
    <xf numFmtId="0" fontId="12" fillId="0" borderId="34" xfId="0" applyFont="1" applyBorder="1" applyAlignment="1">
      <alignment horizontal="center" vertical="center" wrapText="1"/>
    </xf>
    <xf numFmtId="0" fontId="4" fillId="0" borderId="24" xfId="0" applyFont="1" applyBorder="1" applyAlignment="1">
      <alignment horizontal="center" vertical="center" wrapText="1"/>
    </xf>
    <xf numFmtId="0" fontId="4" fillId="0" borderId="29" xfId="0" applyFont="1" applyBorder="1"/>
    <xf numFmtId="0" fontId="4" fillId="0" borderId="31" xfId="0" applyFont="1" applyBorder="1"/>
    <xf numFmtId="0" fontId="4" fillId="0" borderId="32" xfId="0" applyFont="1" applyBorder="1"/>
    <xf numFmtId="0" fontId="12" fillId="0" borderId="0" xfId="0" applyFont="1" applyAlignment="1">
      <alignment vertical="center" wrapText="1"/>
    </xf>
    <xf numFmtId="0" fontId="4" fillId="0" borderId="10" xfId="0" applyFont="1" applyBorder="1" applyAlignment="1">
      <alignment vertical="center" wrapText="1"/>
    </xf>
    <xf numFmtId="14" fontId="4" fillId="0" borderId="6" xfId="0" applyNumberFormat="1" applyFont="1" applyBorder="1" applyAlignment="1">
      <alignment horizontal="center" vertical="center" wrapText="1"/>
    </xf>
    <xf numFmtId="14" fontId="4" fillId="6" borderId="6" xfId="0" applyNumberFormat="1" applyFont="1" applyFill="1" applyBorder="1"/>
    <xf numFmtId="0" fontId="4" fillId="6" borderId="6" xfId="0" applyFont="1" applyFill="1" applyBorder="1"/>
    <xf numFmtId="0" fontId="4" fillId="6" borderId="6" xfId="0" applyFont="1" applyFill="1" applyBorder="1" applyAlignment="1">
      <alignment wrapText="1"/>
    </xf>
    <xf numFmtId="165" fontId="4" fillId="6" borderId="6" xfId="0" applyNumberFormat="1" applyFont="1" applyFill="1" applyBorder="1" applyAlignment="1">
      <alignment wrapText="1"/>
    </xf>
    <xf numFmtId="49" fontId="6" fillId="0" borderId="4" xfId="0" applyNumberFormat="1" applyFont="1" applyBorder="1" applyAlignment="1">
      <alignment horizontal="left" vertical="top"/>
    </xf>
    <xf numFmtId="0" fontId="6" fillId="0" borderId="4" xfId="0" applyFont="1" applyBorder="1" applyAlignment="1">
      <alignment horizontal="left" vertical="top" wrapText="1"/>
    </xf>
    <xf numFmtId="0" fontId="4" fillId="0" borderId="21" xfId="0" applyFont="1" applyBorder="1" applyAlignment="1">
      <alignment horizontal="left" vertical="center"/>
    </xf>
    <xf numFmtId="0" fontId="4" fillId="0" borderId="22" xfId="0" applyFont="1" applyBorder="1" applyAlignment="1">
      <alignment horizontal="left" vertical="center"/>
    </xf>
    <xf numFmtId="0" fontId="4" fillId="0" borderId="26" xfId="0" applyFont="1" applyBorder="1" applyAlignment="1">
      <alignment horizontal="left" vertical="center"/>
    </xf>
    <xf numFmtId="0" fontId="12" fillId="5" borderId="12" xfId="0" applyFont="1" applyFill="1" applyBorder="1" applyAlignment="1">
      <alignment horizontal="left" vertical="center"/>
    </xf>
    <xf numFmtId="0" fontId="12" fillId="5" borderId="34" xfId="0" applyFont="1" applyFill="1" applyBorder="1" applyAlignment="1">
      <alignment horizontal="left" vertical="center"/>
    </xf>
    <xf numFmtId="0" fontId="12" fillId="5" borderId="23" xfId="0" applyFont="1" applyFill="1" applyBorder="1" applyAlignment="1">
      <alignment horizontal="left" vertical="center"/>
    </xf>
    <xf numFmtId="0" fontId="4" fillId="0" borderId="21" xfId="0" applyFont="1" applyBorder="1" applyAlignment="1">
      <alignment horizontal="center" vertical="center"/>
    </xf>
    <xf numFmtId="0" fontId="4" fillId="0" borderId="22" xfId="0" applyFont="1" applyBorder="1" applyAlignment="1">
      <alignment horizontal="center" vertical="center"/>
    </xf>
    <xf numFmtId="0" fontId="13" fillId="14" borderId="0" xfId="0" applyFont="1" applyFill="1" applyAlignment="1">
      <alignment horizontal="center" vertical="center"/>
    </xf>
    <xf numFmtId="0" fontId="4" fillId="11" borderId="10" xfId="0" applyFont="1" applyFill="1" applyBorder="1" applyAlignment="1">
      <alignment horizontal="center"/>
    </xf>
    <xf numFmtId="0" fontId="4" fillId="11" borderId="0" xfId="0" applyFont="1" applyFill="1" applyAlignment="1">
      <alignment horizontal="center"/>
    </xf>
    <xf numFmtId="0" fontId="4" fillId="5" borderId="43" xfId="0" applyFont="1" applyFill="1" applyBorder="1" applyAlignment="1">
      <alignment horizontal="center" vertical="center"/>
    </xf>
    <xf numFmtId="0" fontId="4" fillId="5" borderId="44" xfId="0" applyFont="1" applyFill="1" applyBorder="1" applyAlignment="1">
      <alignment horizontal="center" vertical="center"/>
    </xf>
    <xf numFmtId="0" fontId="12" fillId="0" borderId="0" xfId="0" applyFont="1" applyAlignment="1">
      <alignment vertical="center" wrapText="1"/>
    </xf>
    <xf numFmtId="0" fontId="4" fillId="0" borderId="10" xfId="0" applyFont="1" applyBorder="1" applyAlignment="1">
      <alignment horizontal="center" vertical="center" wrapText="1"/>
    </xf>
    <xf numFmtId="0" fontId="4" fillId="0" borderId="0" xfId="0" applyFont="1" applyAlignment="1">
      <alignment horizontal="center" vertical="center" wrapText="1"/>
    </xf>
    <xf numFmtId="0" fontId="4" fillId="0" borderId="9"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0" borderId="5" xfId="0" applyFont="1" applyBorder="1" applyAlignment="1">
      <alignment horizontal="center" vertical="center" wrapText="1"/>
    </xf>
    <xf numFmtId="14" fontId="4" fillId="0" borderId="30" xfId="0" applyNumberFormat="1" applyFont="1" applyBorder="1" applyAlignment="1">
      <alignment horizontal="center"/>
    </xf>
    <xf numFmtId="0" fontId="4" fillId="0" borderId="30" xfId="0" applyFont="1" applyBorder="1" applyAlignment="1">
      <alignment horizontal="center"/>
    </xf>
    <xf numFmtId="0" fontId="4" fillId="0" borderId="35" xfId="0" applyFont="1" applyBorder="1" applyAlignment="1">
      <alignment horizontal="center"/>
    </xf>
    <xf numFmtId="0" fontId="4" fillId="0" borderId="6" xfId="0" applyFont="1" applyBorder="1" applyAlignment="1">
      <alignment horizontal="center"/>
    </xf>
    <xf numFmtId="0" fontId="4" fillId="0" borderId="36" xfId="0" applyFont="1" applyBorder="1" applyAlignment="1">
      <alignment horizontal="center"/>
    </xf>
    <xf numFmtId="0" fontId="4" fillId="0" borderId="33" xfId="0" applyFont="1" applyBorder="1" applyAlignment="1">
      <alignment horizontal="center"/>
    </xf>
    <xf numFmtId="0" fontId="4" fillId="0" borderId="37" xfId="0" applyFont="1" applyBorder="1" applyAlignment="1">
      <alignment horizontal="center"/>
    </xf>
    <xf numFmtId="0" fontId="13" fillId="4" borderId="45" xfId="0" applyFont="1" applyFill="1" applyBorder="1" applyAlignment="1">
      <alignment horizontal="center" vertical="center"/>
    </xf>
    <xf numFmtId="0" fontId="20" fillId="0" borderId="1" xfId="0" applyFont="1" applyBorder="1" applyAlignment="1">
      <alignment horizontal="center" vertical="center" wrapText="1"/>
    </xf>
    <xf numFmtId="0" fontId="20" fillId="0" borderId="2" xfId="0" applyFont="1" applyBorder="1" applyAlignment="1">
      <alignment horizontal="center" vertical="center" wrapText="1"/>
    </xf>
    <xf numFmtId="0" fontId="20" fillId="0" borderId="8" xfId="0" applyFont="1" applyBorder="1" applyAlignment="1">
      <alignment horizontal="center" vertical="center" wrapText="1"/>
    </xf>
  </cellXfs>
  <cellStyles count="1">
    <cellStyle name="Normal" xfId="0" builtinId="0"/>
  </cellStyles>
  <dxfs count="23">
    <dxf>
      <fill>
        <patternFill>
          <bgColor rgb="FF92D050"/>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3" tint="0.59996337778862885"/>
        </patternFill>
      </fill>
    </dxf>
    <dxf>
      <fill>
        <patternFill>
          <bgColor theme="3" tint="0.59996337778862885"/>
        </patternFill>
      </fill>
    </dxf>
    <dxf>
      <fill>
        <patternFill>
          <bgColor rgb="FF92D050"/>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ont>
        <b val="0"/>
        <i val="0"/>
        <strike val="0"/>
        <condense val="0"/>
        <extend val="0"/>
        <outline val="0"/>
        <shadow val="0"/>
        <u val="none"/>
        <vertAlign val="baseline"/>
        <sz val="11"/>
        <color rgb="FF000000"/>
        <name val="Calibri"/>
        <family val="2"/>
        <scheme val="none"/>
      </font>
      <fill>
        <patternFill patternType="solid">
          <fgColor indexed="64"/>
          <bgColor rgb="FFDCE6F1"/>
        </patternFill>
      </fill>
      <border diagonalUp="0" diagonalDown="0" outline="0">
        <left style="thin">
          <color theme="4" tint="0.39997558519241921"/>
        </left>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val="0"/>
        <i val="0"/>
        <strike val="0"/>
        <condense val="0"/>
        <extend val="0"/>
        <outline val="0"/>
        <shadow val="0"/>
        <u val="none"/>
        <vertAlign val="baseline"/>
        <sz val="11"/>
        <color rgb="FF000000"/>
        <name val="Calibri"/>
        <family val="2"/>
        <scheme val="none"/>
      </font>
      <fill>
        <patternFill patternType="solid">
          <fgColor indexed="64"/>
          <bgColor rgb="FFDCE6F1"/>
        </patternFill>
      </fill>
    </dxf>
    <dxf>
      <font>
        <b val="0"/>
        <i val="0"/>
        <strike val="0"/>
        <condense val="0"/>
        <extend val="0"/>
        <outline val="0"/>
        <shadow val="0"/>
        <u val="none"/>
        <vertAlign val="baseline"/>
        <sz val="11"/>
        <color theme="1"/>
        <name val="Calibri"/>
        <family val="2"/>
        <scheme val="none"/>
      </font>
    </dxf>
    <dxf>
      <font>
        <strike val="0"/>
        <outline val="0"/>
        <shadow val="0"/>
        <vertAlign val="baseline"/>
        <sz val="10"/>
        <color rgb="FF000000"/>
        <name val="Calibri"/>
        <family val="2"/>
        <scheme val="none"/>
      </font>
      <border diagonalUp="0" diagonalDown="0">
        <left style="thin">
          <color indexed="64"/>
        </left>
        <right style="thin">
          <color indexed="64"/>
        </right>
        <top style="thin">
          <color indexed="64"/>
        </top>
        <bottom style="thin">
          <color indexed="64"/>
        </bottom>
        <vertical/>
        <horizontal/>
      </border>
    </dxf>
    <dxf>
      <font>
        <strike val="0"/>
        <outline val="0"/>
        <shadow val="0"/>
        <vertAlign val="baseline"/>
        <sz val="11"/>
        <name val="Calibri"/>
        <family val="2"/>
        <scheme val="none"/>
      </font>
    </dxf>
    <dxf>
      <font>
        <strike val="0"/>
        <outline val="0"/>
        <shadow val="0"/>
        <vertAlign val="baseline"/>
        <sz val="11"/>
        <name val="Calibri"/>
        <family val="2"/>
        <scheme val="none"/>
      </font>
    </dxf>
  </dxfs>
  <tableStyles count="1" defaultTableStyle="TableStyleMedium2" defaultPivotStyle="PivotStyleLight16">
    <tableStyle name="Invisible" pivot="0" table="0" count="0" xr9:uid="{6758C6CA-2356-4535-9D9D-86230C423211}"/>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39728</xdr:colOff>
      <xdr:row>3</xdr:row>
      <xdr:rowOff>93132</xdr:rowOff>
    </xdr:to>
    <xdr:pic>
      <xdr:nvPicPr>
        <xdr:cNvPr id="3" name="Picture 2">
          <a:extLst>
            <a:ext uri="{FF2B5EF4-FFF2-40B4-BE49-F238E27FC236}">
              <a16:creationId xmlns:a16="http://schemas.microsoft.com/office/drawing/2014/main" id="{EBDA61E3-4EA9-4DFC-8D10-CC7ABE1356EE}"/>
            </a:ext>
          </a:extLst>
        </xdr:cNvPr>
        <xdr:cNvPicPr>
          <a:picLocks noChangeAspect="1"/>
        </xdr:cNvPicPr>
      </xdr:nvPicPr>
      <xdr:blipFill>
        <a:blip xmlns:r="http://schemas.openxmlformats.org/officeDocument/2006/relationships" r:embed="rId1"/>
        <a:stretch>
          <a:fillRect/>
        </a:stretch>
      </xdr:blipFill>
      <xdr:spPr>
        <a:xfrm>
          <a:off x="0" y="0"/>
          <a:ext cx="1953195" cy="60113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47755</xdr:colOff>
      <xdr:row>3</xdr:row>
      <xdr:rowOff>93901</xdr:rowOff>
    </xdr:to>
    <xdr:pic>
      <xdr:nvPicPr>
        <xdr:cNvPr id="2" name="Picture 1">
          <a:extLst>
            <a:ext uri="{FF2B5EF4-FFF2-40B4-BE49-F238E27FC236}">
              <a16:creationId xmlns:a16="http://schemas.microsoft.com/office/drawing/2014/main" id="{A3A15F1F-E2D6-422B-9DE6-17F4BDF3A2F2}"/>
            </a:ext>
          </a:extLst>
        </xdr:cNvPr>
        <xdr:cNvPicPr>
          <a:picLocks noChangeAspect="1"/>
        </xdr:cNvPicPr>
      </xdr:nvPicPr>
      <xdr:blipFill>
        <a:blip xmlns:r="http://schemas.openxmlformats.org/officeDocument/2006/relationships" r:embed="rId1"/>
        <a:stretch>
          <a:fillRect/>
        </a:stretch>
      </xdr:blipFill>
      <xdr:spPr>
        <a:xfrm>
          <a:off x="0" y="0"/>
          <a:ext cx="1961222" cy="60190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775889</xdr:colOff>
      <xdr:row>3</xdr:row>
      <xdr:rowOff>93901</xdr:rowOff>
    </xdr:to>
    <xdr:pic>
      <xdr:nvPicPr>
        <xdr:cNvPr id="2" name="Picture 1">
          <a:extLst>
            <a:ext uri="{FF2B5EF4-FFF2-40B4-BE49-F238E27FC236}">
              <a16:creationId xmlns:a16="http://schemas.microsoft.com/office/drawing/2014/main" id="{FB3CC2B0-EA9F-4C12-B282-00CD0E23FFC4}"/>
            </a:ext>
          </a:extLst>
        </xdr:cNvPr>
        <xdr:cNvPicPr>
          <a:picLocks noChangeAspect="1"/>
        </xdr:cNvPicPr>
      </xdr:nvPicPr>
      <xdr:blipFill>
        <a:blip xmlns:r="http://schemas.openxmlformats.org/officeDocument/2006/relationships" r:embed="rId1"/>
        <a:stretch>
          <a:fillRect/>
        </a:stretch>
      </xdr:blipFill>
      <xdr:spPr>
        <a:xfrm>
          <a:off x="0" y="0"/>
          <a:ext cx="1961222" cy="601901"/>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E876225-7964-4082-91F1-C6221C464408}" name="WorkType" displayName="WorkType" ref="H2:H62" totalsRowShown="0" headerRowDxfId="22" dataDxfId="21">
  <autoFilter ref="H2:H62" xr:uid="{2E876225-7964-4082-91F1-C6221C464408}"/>
  <tableColumns count="1">
    <tableColumn id="2" xr3:uid="{234A6588-4DEA-4067-9367-AEAFE02CA40D}" name="Resource" dataDxfId="2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149CFBE-03DA-4A5C-8F86-52A53133C863}" name="ProjectTable" displayName="ProjectTable" ref="F2:F39" totalsRowShown="0" headerRowDxfId="19" dataDxfId="18" tableBorderDxfId="17">
  <autoFilter ref="F2:F39" xr:uid="{B149CFBE-03DA-4A5C-8F86-52A53133C863}"/>
  <sortState xmlns:xlrd2="http://schemas.microsoft.com/office/spreadsheetml/2017/richdata2" ref="F3:F19">
    <sortCondition ref="F2:F19"/>
  </sortState>
  <tableColumns count="1">
    <tableColumn id="1" xr3:uid="{D9788319-59C4-447A-9364-6F4EF6730453}" name="Description" dataDxfId="16"/>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ntegral">
  <a:themeElements>
    <a:clrScheme name="Blue">
      <a:dk1>
        <a:sysClr val="windowText" lastClr="000000"/>
      </a:dk1>
      <a:lt1>
        <a:sysClr val="window" lastClr="FFFFFF"/>
      </a:lt1>
      <a:dk2>
        <a:srgbClr val="17406D"/>
      </a:dk2>
      <a:lt2>
        <a:srgbClr val="DBEFF9"/>
      </a:lt2>
      <a:accent1>
        <a:srgbClr val="0F6FC6"/>
      </a:accent1>
      <a:accent2>
        <a:srgbClr val="009DD9"/>
      </a:accent2>
      <a:accent3>
        <a:srgbClr val="0BD0D9"/>
      </a:accent3>
      <a:accent4>
        <a:srgbClr val="10CF9B"/>
      </a:accent4>
      <a:accent5>
        <a:srgbClr val="7CCA62"/>
      </a:accent5>
      <a:accent6>
        <a:srgbClr val="A5C249"/>
      </a:accent6>
      <a:hlink>
        <a:srgbClr val="F49100"/>
      </a:hlink>
      <a:folHlink>
        <a:srgbClr val="85DFD0"/>
      </a:folHlink>
    </a:clrScheme>
    <a:fontScheme name="Integral">
      <a:majorFont>
        <a:latin typeface="Tw Cen MT Condensed" panose="020B06060201040202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Integral">
      <a:fillStyleLst>
        <a:solidFill>
          <a:schemeClr val="phClr"/>
        </a:solidFill>
        <a:gradFill rotWithShape="1">
          <a:gsLst>
            <a:gs pos="0">
              <a:schemeClr val="phClr">
                <a:tint val="83000"/>
                <a:satMod val="100000"/>
                <a:lumMod val="100000"/>
              </a:schemeClr>
            </a:gs>
            <a:gs pos="100000">
              <a:schemeClr val="phClr">
                <a:tint val="61000"/>
                <a:satMod val="150000"/>
                <a:lumMod val="100000"/>
              </a:schemeClr>
            </a:gs>
          </a:gsLst>
          <a:path path="circle">
            <a:fillToRect l="100000" t="100000" r="100000" b="100000"/>
          </a:path>
        </a:gradFill>
        <a:gradFill rotWithShape="1">
          <a:gsLst>
            <a:gs pos="0">
              <a:schemeClr val="phClr">
                <a:tint val="100000"/>
                <a:shade val="85000"/>
                <a:satMod val="100000"/>
                <a:lumMod val="100000"/>
              </a:schemeClr>
            </a:gs>
            <a:gs pos="100000">
              <a:schemeClr val="phClr">
                <a:tint val="90000"/>
                <a:shade val="100000"/>
                <a:satMod val="150000"/>
                <a:lumMod val="100000"/>
              </a:schemeClr>
            </a:gs>
          </a:gsLst>
          <a:path path="circle">
            <a:fillToRect l="100000" t="100000" r="100000" b="100000"/>
          </a:path>
        </a:gradFill>
      </a:fillStyleLst>
      <a:lnStyleLst>
        <a:ln w="9525" cap="flat" cmpd="sng" algn="ctr">
          <a:solidFill>
            <a:schemeClr val="phClr"/>
          </a:solidFill>
          <a:prstDash val="solid"/>
        </a:ln>
        <a:ln w="15875"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50800" dist="12700" dir="5400000" algn="ctr" rotWithShape="0">
              <a:srgbClr val="000000">
                <a:alpha val="50000"/>
              </a:srgbClr>
            </a:outerShdw>
          </a:effectLst>
        </a:effectStyle>
        <a:effectStyle>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hemeClr val="phClr">
                <a:shade val="35000"/>
                <a:satMod val="160000"/>
              </a:schemeClr>
            </a:contourClr>
          </a:sp3d>
        </a:effectStyle>
      </a:effectStyleLst>
      <a:bgFillStyleLst>
        <a:solidFill>
          <a:schemeClr val="phClr"/>
        </a:solidFill>
        <a:solidFill>
          <a:schemeClr val="phClr">
            <a:tint val="95000"/>
            <a:shade val="85000"/>
            <a:satMod val="125000"/>
          </a:schemeClr>
        </a:solidFill>
        <a:blipFill rotWithShape="1">
          <a:blip xmlns:r="http://schemas.openxmlformats.org/officeDocument/2006/relationships" r:embed="rId1">
            <a:duotone>
              <a:schemeClr val="phClr">
                <a:tint val="95000"/>
                <a:shade val="74000"/>
                <a:satMod val="230000"/>
              </a:schemeClr>
              <a:schemeClr val="phClr">
                <a:tint val="92000"/>
                <a:shade val="69000"/>
                <a:satMod val="250000"/>
              </a:schemeClr>
            </a:duotone>
          </a:blip>
          <a:tile tx="0" ty="0" sx="40000" sy="40000" flip="none" algn="tl"/>
        </a:blipFill>
      </a:bgFillStyleLst>
    </a:fmtScheme>
  </a:themeElements>
  <a:objectDefaults/>
  <a:extraClrSchemeLst/>
  <a:extLst>
    <a:ext uri="{05A4C25C-085E-4340-85A3-A5531E510DB2}">
      <thm15:themeFamily xmlns:thm15="http://schemas.microsoft.com/office/thememl/2012/main" name="Integral" id="{3577F8C9-A904-41D8-97D2-FD898F53F20E}" vid="{682D6EBE-8D36-4FF2-9DB3-F3D8D7B6715D}"/>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366D5-46F5-410C-BC9F-D56DCF566D28}">
  <dimension ref="A5:J138"/>
  <sheetViews>
    <sheetView topLeftCell="A7" zoomScale="75" zoomScaleNormal="75" workbookViewId="0">
      <selection activeCell="G5" sqref="G5"/>
    </sheetView>
  </sheetViews>
  <sheetFormatPr defaultColWidth="8.69921875" defaultRowHeight="12.6" x14ac:dyDescent="0.2"/>
  <cols>
    <col min="1" max="1" width="12" style="21" customWidth="1"/>
    <col min="2" max="2" width="13.09765625" style="21" customWidth="1"/>
    <col min="3" max="3" width="16.19921875" style="21" customWidth="1"/>
    <col min="4" max="5" width="20" style="21" customWidth="1"/>
    <col min="6" max="6" width="23.09765625" style="21" customWidth="1"/>
    <col min="7" max="7" width="34" style="21" customWidth="1"/>
    <col min="8" max="16384" width="8.69921875" style="21"/>
  </cols>
  <sheetData>
    <row r="5" spans="1:10" x14ac:dyDescent="0.2">
      <c r="A5" s="35" t="s">
        <v>0</v>
      </c>
      <c r="B5" s="21" t="s">
        <v>1</v>
      </c>
      <c r="C5" s="35"/>
      <c r="H5" s="38"/>
    </row>
    <row r="6" spans="1:10" x14ac:dyDescent="0.2">
      <c r="A6" s="35" t="s">
        <v>2</v>
      </c>
      <c r="B6" s="82">
        <f>F133</f>
        <v>0</v>
      </c>
      <c r="C6" s="35"/>
      <c r="D6" s="35"/>
      <c r="E6" s="35"/>
      <c r="H6" s="38"/>
      <c r="J6" s="39"/>
    </row>
    <row r="7" spans="1:10" x14ac:dyDescent="0.2">
      <c r="H7" s="38"/>
    </row>
    <row r="8" spans="1:10" ht="25.2" x14ac:dyDescent="0.2">
      <c r="A8" s="22" t="s">
        <v>3</v>
      </c>
      <c r="B8" s="23" t="s">
        <v>4</v>
      </c>
      <c r="C8" s="23" t="s">
        <v>5</v>
      </c>
      <c r="D8" s="23" t="s">
        <v>6</v>
      </c>
      <c r="E8" s="23" t="s">
        <v>7</v>
      </c>
      <c r="F8" s="23" t="s">
        <v>8</v>
      </c>
      <c r="G8" s="40" t="s">
        <v>9</v>
      </c>
      <c r="H8" s="24" t="s">
        <v>10</v>
      </c>
      <c r="I8" s="24" t="s">
        <v>11</v>
      </c>
      <c r="J8" s="41" t="s">
        <v>12</v>
      </c>
    </row>
    <row r="9" spans="1:10" x14ac:dyDescent="0.2">
      <c r="A9" s="29">
        <v>45717</v>
      </c>
      <c r="B9" s="29" t="s">
        <v>13</v>
      </c>
      <c r="C9" s="30"/>
      <c r="D9" s="30"/>
      <c r="E9" s="30"/>
      <c r="F9" s="30"/>
      <c r="G9" s="31"/>
      <c r="H9" s="32">
        <f>J9-I9</f>
        <v>0</v>
      </c>
      <c r="I9" s="33"/>
      <c r="J9" s="33"/>
    </row>
    <row r="10" spans="1:10" x14ac:dyDescent="0.2">
      <c r="A10" s="29">
        <v>45718</v>
      </c>
      <c r="B10" s="29" t="s">
        <v>14</v>
      </c>
      <c r="C10" s="30"/>
      <c r="D10" s="30"/>
      <c r="E10" s="30"/>
      <c r="F10" s="30"/>
      <c r="G10" s="31"/>
      <c r="H10" s="32">
        <f t="shared" ref="H10:H121" si="0">J10-I10</f>
        <v>0</v>
      </c>
      <c r="I10" s="33"/>
      <c r="J10" s="33"/>
    </row>
    <row r="11" spans="1:10" x14ac:dyDescent="0.2">
      <c r="A11" s="20">
        <v>45719</v>
      </c>
      <c r="B11" s="20" t="s">
        <v>15</v>
      </c>
      <c r="C11" s="25" t="s">
        <v>16</v>
      </c>
      <c r="D11" s="25" t="s">
        <v>17</v>
      </c>
      <c r="E11" s="25" t="s">
        <v>18</v>
      </c>
      <c r="F11" s="25" t="s">
        <v>19</v>
      </c>
      <c r="G11" s="26" t="s">
        <v>20</v>
      </c>
      <c r="H11" s="27">
        <f t="shared" si="0"/>
        <v>4.1666666666666685E-2</v>
      </c>
      <c r="I11" s="28">
        <v>0.375</v>
      </c>
      <c r="J11" s="28">
        <v>0.41666666666666669</v>
      </c>
    </row>
    <row r="12" spans="1:10" x14ac:dyDescent="0.2">
      <c r="A12" s="20">
        <v>45719</v>
      </c>
      <c r="B12" s="20" t="s">
        <v>15</v>
      </c>
      <c r="C12" s="25" t="s">
        <v>16</v>
      </c>
      <c r="D12" s="25" t="s">
        <v>17</v>
      </c>
      <c r="E12" s="25" t="s">
        <v>18</v>
      </c>
      <c r="F12" s="25" t="s">
        <v>19</v>
      </c>
      <c r="G12" s="26" t="s">
        <v>21</v>
      </c>
      <c r="H12" s="27">
        <f t="shared" si="0"/>
        <v>4.166666666666663E-2</v>
      </c>
      <c r="I12" s="28">
        <v>0.41666666666666669</v>
      </c>
      <c r="J12" s="28">
        <v>0.45833333333333331</v>
      </c>
    </row>
    <row r="13" spans="1:10" x14ac:dyDescent="0.2">
      <c r="A13" s="20">
        <v>45719</v>
      </c>
      <c r="B13" s="20" t="s">
        <v>15</v>
      </c>
      <c r="C13" s="25" t="s">
        <v>16</v>
      </c>
      <c r="D13" s="25" t="s">
        <v>17</v>
      </c>
      <c r="E13" s="25" t="s">
        <v>18</v>
      </c>
      <c r="F13" s="25" t="s">
        <v>19</v>
      </c>
      <c r="G13" s="26" t="s">
        <v>22</v>
      </c>
      <c r="H13" s="27">
        <f t="shared" si="0"/>
        <v>6.2500000000000056E-2</v>
      </c>
      <c r="I13" s="28">
        <v>0.45833333333333331</v>
      </c>
      <c r="J13" s="28">
        <v>0.52083333333333337</v>
      </c>
    </row>
    <row r="14" spans="1:10" x14ac:dyDescent="0.2">
      <c r="A14" s="20">
        <v>45719</v>
      </c>
      <c r="B14" s="20" t="s">
        <v>15</v>
      </c>
      <c r="C14" s="25" t="s">
        <v>16</v>
      </c>
      <c r="D14" s="25" t="s">
        <v>17</v>
      </c>
      <c r="E14" s="25" t="s">
        <v>18</v>
      </c>
      <c r="F14" s="25" t="s">
        <v>19</v>
      </c>
      <c r="G14" s="26" t="s">
        <v>23</v>
      </c>
      <c r="H14" s="27">
        <f t="shared" si="0"/>
        <v>4.1666666666666741E-2</v>
      </c>
      <c r="I14" s="28">
        <v>0.54166666666666663</v>
      </c>
      <c r="J14" s="28">
        <v>0.58333333333333337</v>
      </c>
    </row>
    <row r="15" spans="1:10" ht="25.2" x14ac:dyDescent="0.2">
      <c r="A15" s="20">
        <v>45719</v>
      </c>
      <c r="B15" s="20" t="s">
        <v>15</v>
      </c>
      <c r="C15" s="25" t="s">
        <v>24</v>
      </c>
      <c r="D15" s="25" t="s">
        <v>25</v>
      </c>
      <c r="E15" s="25" t="s">
        <v>26</v>
      </c>
      <c r="F15" s="25" t="s">
        <v>19</v>
      </c>
      <c r="G15" s="26" t="s">
        <v>27</v>
      </c>
      <c r="H15" s="27">
        <f t="shared" si="0"/>
        <v>5.208333333333337E-2</v>
      </c>
      <c r="I15" s="28">
        <v>0.66666666666666663</v>
      </c>
      <c r="J15" s="28">
        <v>0.71875</v>
      </c>
    </row>
    <row r="16" spans="1:10" x14ac:dyDescent="0.2">
      <c r="A16" s="20">
        <v>45720</v>
      </c>
      <c r="B16" s="20" t="s">
        <v>28</v>
      </c>
      <c r="C16" s="25" t="s">
        <v>16</v>
      </c>
      <c r="D16" s="25" t="s">
        <v>17</v>
      </c>
      <c r="E16" s="25" t="s">
        <v>18</v>
      </c>
      <c r="F16" s="25" t="s">
        <v>19</v>
      </c>
      <c r="G16" s="26" t="s">
        <v>29</v>
      </c>
      <c r="H16" s="27">
        <f t="shared" si="0"/>
        <v>4.1666666666666685E-2</v>
      </c>
      <c r="I16" s="28">
        <v>0.375</v>
      </c>
      <c r="J16" s="28">
        <v>0.41666666666666669</v>
      </c>
    </row>
    <row r="17" spans="1:10" ht="25.2" x14ac:dyDescent="0.2">
      <c r="A17" s="20">
        <v>45720</v>
      </c>
      <c r="B17" s="20" t="s">
        <v>28</v>
      </c>
      <c r="C17" s="25" t="s">
        <v>16</v>
      </c>
      <c r="D17" s="25" t="s">
        <v>17</v>
      </c>
      <c r="E17" s="25" t="s">
        <v>18</v>
      </c>
      <c r="F17" s="25" t="s">
        <v>19</v>
      </c>
      <c r="G17" s="26" t="s">
        <v>30</v>
      </c>
      <c r="H17" s="27">
        <f t="shared" si="0"/>
        <v>2.083333333333337E-2</v>
      </c>
      <c r="I17" s="28">
        <v>0.42708333333333331</v>
      </c>
      <c r="J17" s="28">
        <v>0.44791666666666669</v>
      </c>
    </row>
    <row r="18" spans="1:10" x14ac:dyDescent="0.2">
      <c r="A18" s="20">
        <v>45720</v>
      </c>
      <c r="B18" s="20" t="s">
        <v>28</v>
      </c>
      <c r="C18" s="25" t="s">
        <v>16</v>
      </c>
      <c r="D18" s="25" t="s">
        <v>17</v>
      </c>
      <c r="E18" s="25" t="s">
        <v>18</v>
      </c>
      <c r="F18" s="25" t="s">
        <v>19</v>
      </c>
      <c r="G18" s="26" t="s">
        <v>31</v>
      </c>
      <c r="H18" s="27">
        <f t="shared" si="0"/>
        <v>0.15624999999999994</v>
      </c>
      <c r="I18" s="28">
        <v>0.44791666666666669</v>
      </c>
      <c r="J18" s="28">
        <v>0.60416666666666663</v>
      </c>
    </row>
    <row r="19" spans="1:10" x14ac:dyDescent="0.2">
      <c r="A19" s="20">
        <v>45720</v>
      </c>
      <c r="B19" s="20" t="s">
        <v>28</v>
      </c>
      <c r="C19" s="25" t="s">
        <v>16</v>
      </c>
      <c r="D19" s="25" t="s">
        <v>17</v>
      </c>
      <c r="E19" s="25" t="s">
        <v>18</v>
      </c>
      <c r="F19" s="25" t="s">
        <v>19</v>
      </c>
      <c r="G19" s="26" t="s">
        <v>32</v>
      </c>
      <c r="H19" s="27">
        <f t="shared" si="0"/>
        <v>2.083333333333337E-2</v>
      </c>
      <c r="I19" s="28">
        <v>0.60416666666666663</v>
      </c>
      <c r="J19" s="28">
        <v>0.625</v>
      </c>
    </row>
    <row r="20" spans="1:10" ht="75.599999999999994" x14ac:dyDescent="0.2">
      <c r="A20" s="20">
        <v>45719</v>
      </c>
      <c r="B20" s="20" t="s">
        <v>28</v>
      </c>
      <c r="C20" s="25" t="s">
        <v>24</v>
      </c>
      <c r="D20" s="25" t="s">
        <v>25</v>
      </c>
      <c r="E20" s="25" t="s">
        <v>26</v>
      </c>
      <c r="F20" s="25" t="s">
        <v>19</v>
      </c>
      <c r="G20" s="26" t="s">
        <v>33</v>
      </c>
      <c r="H20" s="27">
        <f t="shared" si="0"/>
        <v>5.208333333333337E-2</v>
      </c>
      <c r="I20" s="28">
        <v>0.66666666666666663</v>
      </c>
      <c r="J20" s="28">
        <v>0.71875</v>
      </c>
    </row>
    <row r="21" spans="1:10" ht="25.2" x14ac:dyDescent="0.2">
      <c r="A21" s="20">
        <v>45721</v>
      </c>
      <c r="B21" s="20" t="s">
        <v>34</v>
      </c>
      <c r="C21" s="25" t="s">
        <v>16</v>
      </c>
      <c r="D21" s="25" t="s">
        <v>17</v>
      </c>
      <c r="E21" s="25" t="s">
        <v>18</v>
      </c>
      <c r="F21" s="25" t="s">
        <v>19</v>
      </c>
      <c r="G21" s="26" t="s">
        <v>35</v>
      </c>
      <c r="H21" s="27">
        <f t="shared" si="0"/>
        <v>0.16666666666666663</v>
      </c>
      <c r="I21" s="28">
        <v>0.375</v>
      </c>
      <c r="J21" s="28">
        <v>0.54166666666666663</v>
      </c>
    </row>
    <row r="22" spans="1:10" ht="50.4" x14ac:dyDescent="0.2">
      <c r="A22" s="20">
        <v>45721</v>
      </c>
      <c r="B22" s="20" t="s">
        <v>34</v>
      </c>
      <c r="C22" s="25" t="s">
        <v>16</v>
      </c>
      <c r="D22" s="25" t="s">
        <v>17</v>
      </c>
      <c r="E22" s="25" t="s">
        <v>18</v>
      </c>
      <c r="F22" s="25" t="s">
        <v>19</v>
      </c>
      <c r="G22" s="26" t="s">
        <v>36</v>
      </c>
      <c r="H22" s="27">
        <f t="shared" si="0"/>
        <v>6.25E-2</v>
      </c>
      <c r="I22" s="28">
        <v>0.58333333333333337</v>
      </c>
      <c r="J22" s="28">
        <v>0.64583333333333337</v>
      </c>
    </row>
    <row r="23" spans="1:10" x14ac:dyDescent="0.2">
      <c r="A23" s="20">
        <v>45721</v>
      </c>
      <c r="B23" s="20" t="s">
        <v>34</v>
      </c>
      <c r="C23" s="25" t="s">
        <v>16</v>
      </c>
      <c r="D23" s="25" t="s">
        <v>17</v>
      </c>
      <c r="E23" s="25" t="s">
        <v>18</v>
      </c>
      <c r="F23" s="25" t="s">
        <v>19</v>
      </c>
      <c r="G23" s="26" t="s">
        <v>37</v>
      </c>
      <c r="H23" s="27">
        <f t="shared" si="0"/>
        <v>2.0833333333333259E-2</v>
      </c>
      <c r="I23" s="28">
        <v>0.64583333333333337</v>
      </c>
      <c r="J23" s="28">
        <v>0.66666666666666663</v>
      </c>
    </row>
    <row r="24" spans="1:10" ht="25.2" x14ac:dyDescent="0.2">
      <c r="A24" s="20">
        <v>45722</v>
      </c>
      <c r="B24" s="20" t="s">
        <v>38</v>
      </c>
      <c r="C24" s="25" t="s">
        <v>16</v>
      </c>
      <c r="D24" s="25" t="s">
        <v>17</v>
      </c>
      <c r="E24" s="25" t="s">
        <v>18</v>
      </c>
      <c r="F24" s="25" t="s">
        <v>19</v>
      </c>
      <c r="G24" s="26" t="s">
        <v>39</v>
      </c>
      <c r="H24" s="27">
        <f t="shared" si="0"/>
        <v>4.1666666666666685E-2</v>
      </c>
      <c r="I24" s="28">
        <v>0.375</v>
      </c>
      <c r="J24" s="28">
        <v>0.41666666666666669</v>
      </c>
    </row>
    <row r="25" spans="1:10" ht="37.799999999999997" x14ac:dyDescent="0.2">
      <c r="A25" s="20">
        <v>45722</v>
      </c>
      <c r="B25" s="20" t="s">
        <v>38</v>
      </c>
      <c r="C25" s="25" t="s">
        <v>16</v>
      </c>
      <c r="D25" s="25" t="s">
        <v>17</v>
      </c>
      <c r="E25" s="25" t="s">
        <v>18</v>
      </c>
      <c r="F25" s="25" t="s">
        <v>19</v>
      </c>
      <c r="G25" s="26" t="s">
        <v>40</v>
      </c>
      <c r="H25" s="27">
        <f t="shared" si="0"/>
        <v>4.166666666666663E-2</v>
      </c>
      <c r="I25" s="28">
        <v>0.41666666666666669</v>
      </c>
      <c r="J25" s="28">
        <v>0.45833333333333331</v>
      </c>
    </row>
    <row r="26" spans="1:10" ht="25.2" x14ac:dyDescent="0.2">
      <c r="A26" s="20">
        <v>45722</v>
      </c>
      <c r="B26" s="20" t="s">
        <v>38</v>
      </c>
      <c r="C26" s="25" t="s">
        <v>16</v>
      </c>
      <c r="D26" s="25" t="s">
        <v>17</v>
      </c>
      <c r="E26" s="25" t="s">
        <v>18</v>
      </c>
      <c r="F26" s="25" t="s">
        <v>19</v>
      </c>
      <c r="G26" s="26" t="s">
        <v>41</v>
      </c>
      <c r="H26" s="27">
        <f t="shared" si="0"/>
        <v>4.1666666666666685E-2</v>
      </c>
      <c r="I26" s="28">
        <v>0.45833333333333331</v>
      </c>
      <c r="J26" s="28">
        <v>0.5</v>
      </c>
    </row>
    <row r="27" spans="1:10" ht="25.2" x14ac:dyDescent="0.2">
      <c r="A27" s="20">
        <v>45722</v>
      </c>
      <c r="B27" s="20" t="s">
        <v>38</v>
      </c>
      <c r="C27" s="25" t="s">
        <v>16</v>
      </c>
      <c r="D27" s="25" t="s">
        <v>17</v>
      </c>
      <c r="E27" s="25" t="s">
        <v>18</v>
      </c>
      <c r="F27" s="25" t="s">
        <v>19</v>
      </c>
      <c r="G27" s="26" t="s">
        <v>42</v>
      </c>
      <c r="H27" s="27">
        <f t="shared" si="0"/>
        <v>4.166666666666663E-2</v>
      </c>
      <c r="I27" s="28">
        <v>0.5</v>
      </c>
      <c r="J27" s="28">
        <v>0.54166666666666663</v>
      </c>
    </row>
    <row r="28" spans="1:10" ht="37.799999999999997" x14ac:dyDescent="0.2">
      <c r="A28" s="20">
        <v>45722</v>
      </c>
      <c r="B28" s="20" t="s">
        <v>38</v>
      </c>
      <c r="C28" s="25" t="s">
        <v>16</v>
      </c>
      <c r="D28" s="25" t="s">
        <v>17</v>
      </c>
      <c r="E28" s="25" t="s">
        <v>18</v>
      </c>
      <c r="F28" s="25" t="s">
        <v>19</v>
      </c>
      <c r="G28" s="26" t="s">
        <v>43</v>
      </c>
      <c r="H28" s="27">
        <f t="shared" si="0"/>
        <v>4.166666666666663E-2</v>
      </c>
      <c r="I28" s="28">
        <v>0.58333333333333337</v>
      </c>
      <c r="J28" s="28">
        <v>0.625</v>
      </c>
    </row>
    <row r="29" spans="1:10" ht="37.799999999999997" x14ac:dyDescent="0.2">
      <c r="A29" s="20">
        <v>45722</v>
      </c>
      <c r="B29" s="20" t="s">
        <v>38</v>
      </c>
      <c r="C29" s="25" t="s">
        <v>16</v>
      </c>
      <c r="D29" s="25" t="s">
        <v>17</v>
      </c>
      <c r="E29" s="25" t="s">
        <v>18</v>
      </c>
      <c r="F29" s="25" t="s">
        <v>19</v>
      </c>
      <c r="G29" s="26" t="s">
        <v>44</v>
      </c>
      <c r="H29" s="27">
        <f t="shared" si="0"/>
        <v>4.166666666666663E-2</v>
      </c>
      <c r="I29" s="28">
        <v>0.625</v>
      </c>
      <c r="J29" s="28">
        <v>0.66666666666666663</v>
      </c>
    </row>
    <row r="30" spans="1:10" ht="138.6" x14ac:dyDescent="0.2">
      <c r="A30" s="20">
        <v>45722</v>
      </c>
      <c r="B30" s="20" t="s">
        <v>38</v>
      </c>
      <c r="C30" s="25" t="s">
        <v>24</v>
      </c>
      <c r="D30" s="25" t="s">
        <v>25</v>
      </c>
      <c r="E30" s="25" t="s">
        <v>26</v>
      </c>
      <c r="F30" s="25" t="s">
        <v>19</v>
      </c>
      <c r="G30" s="26" t="s">
        <v>45</v>
      </c>
      <c r="H30" s="27">
        <f t="shared" si="0"/>
        <v>7.6388888888888951E-2</v>
      </c>
      <c r="I30" s="28">
        <v>0.69444444444444442</v>
      </c>
      <c r="J30" s="28">
        <v>0.77083333333333337</v>
      </c>
    </row>
    <row r="31" spans="1:10" ht="88.2" x14ac:dyDescent="0.2">
      <c r="A31" s="20">
        <v>45723</v>
      </c>
      <c r="B31" s="20" t="s">
        <v>46</v>
      </c>
      <c r="C31" s="25" t="s">
        <v>16</v>
      </c>
      <c r="D31" s="25" t="s">
        <v>17</v>
      </c>
      <c r="E31" s="25" t="s">
        <v>18</v>
      </c>
      <c r="F31" s="25" t="s">
        <v>19</v>
      </c>
      <c r="G31" s="26" t="s">
        <v>47</v>
      </c>
      <c r="H31" s="27">
        <f t="shared" si="0"/>
        <v>0.125</v>
      </c>
      <c r="I31" s="28">
        <v>0.375</v>
      </c>
      <c r="J31" s="28">
        <v>0.5</v>
      </c>
    </row>
    <row r="32" spans="1:10" ht="25.2" x14ac:dyDescent="0.2">
      <c r="A32" s="44">
        <v>45723</v>
      </c>
      <c r="B32" s="20" t="s">
        <v>46</v>
      </c>
      <c r="C32" s="25" t="s">
        <v>16</v>
      </c>
      <c r="D32" s="25" t="s">
        <v>17</v>
      </c>
      <c r="E32" s="25" t="s">
        <v>18</v>
      </c>
      <c r="F32" s="25" t="s">
        <v>19</v>
      </c>
      <c r="G32" s="26" t="s">
        <v>48</v>
      </c>
      <c r="H32" s="27">
        <f t="shared" si="0"/>
        <v>4.166666666666663E-2</v>
      </c>
      <c r="I32" s="28">
        <v>0.5</v>
      </c>
      <c r="J32" s="28">
        <v>0.54166666666666663</v>
      </c>
    </row>
    <row r="33" spans="1:10" ht="25.2" x14ac:dyDescent="0.2">
      <c r="A33" s="20">
        <v>45723</v>
      </c>
      <c r="B33" s="20" t="s">
        <v>46</v>
      </c>
      <c r="C33" s="25" t="s">
        <v>16</v>
      </c>
      <c r="D33" s="25" t="s">
        <v>17</v>
      </c>
      <c r="E33" s="25" t="s">
        <v>18</v>
      </c>
      <c r="F33" s="25" t="s">
        <v>19</v>
      </c>
      <c r="G33" s="26" t="s">
        <v>49</v>
      </c>
      <c r="H33" s="27">
        <f t="shared" si="0"/>
        <v>6.25E-2</v>
      </c>
      <c r="I33" s="28">
        <v>0.54166666666666663</v>
      </c>
      <c r="J33" s="28">
        <v>0.60416666666666663</v>
      </c>
    </row>
    <row r="34" spans="1:10" ht="138.6" x14ac:dyDescent="0.2">
      <c r="A34" s="20">
        <v>45723</v>
      </c>
      <c r="B34" s="20" t="s">
        <v>46</v>
      </c>
      <c r="C34" s="25" t="s">
        <v>24</v>
      </c>
      <c r="D34" s="25" t="s">
        <v>25</v>
      </c>
      <c r="E34" s="25" t="s">
        <v>26</v>
      </c>
      <c r="F34" s="25" t="s">
        <v>19</v>
      </c>
      <c r="G34" s="26" t="s">
        <v>50</v>
      </c>
      <c r="H34" s="27">
        <f t="shared" si="0"/>
        <v>4.861111111111116E-2</v>
      </c>
      <c r="I34" s="28">
        <v>0.66666666666666663</v>
      </c>
      <c r="J34" s="28">
        <v>0.71527777777777779</v>
      </c>
    </row>
    <row r="35" spans="1:10" x14ac:dyDescent="0.2">
      <c r="A35" s="29">
        <v>45724</v>
      </c>
      <c r="B35" s="29" t="s">
        <v>13</v>
      </c>
      <c r="C35" s="30"/>
      <c r="D35" s="30"/>
      <c r="E35" s="30"/>
      <c r="F35" s="30"/>
      <c r="G35" s="31"/>
      <c r="H35" s="32">
        <f t="shared" si="0"/>
        <v>0</v>
      </c>
      <c r="I35" s="33"/>
      <c r="J35" s="33"/>
    </row>
    <row r="36" spans="1:10" x14ac:dyDescent="0.2">
      <c r="A36" s="29">
        <v>45725</v>
      </c>
      <c r="B36" s="29" t="s">
        <v>14</v>
      </c>
      <c r="C36" s="30"/>
      <c r="D36" s="30"/>
      <c r="E36" s="30"/>
      <c r="F36" s="30"/>
      <c r="G36" s="31"/>
      <c r="H36" s="32">
        <f t="shared" si="0"/>
        <v>0</v>
      </c>
      <c r="I36" s="33"/>
      <c r="J36" s="33"/>
    </row>
    <row r="37" spans="1:10" ht="25.2" x14ac:dyDescent="0.2">
      <c r="A37" s="20">
        <v>45726</v>
      </c>
      <c r="B37" s="20" t="s">
        <v>15</v>
      </c>
      <c r="C37" s="25" t="s">
        <v>24</v>
      </c>
      <c r="D37" s="25" t="s">
        <v>25</v>
      </c>
      <c r="E37" s="25" t="s">
        <v>51</v>
      </c>
      <c r="F37" s="25" t="s">
        <v>19</v>
      </c>
      <c r="G37" s="26" t="s">
        <v>52</v>
      </c>
      <c r="H37" s="27">
        <f t="shared" si="0"/>
        <v>2.083333333333337E-2</v>
      </c>
      <c r="I37" s="28">
        <v>0.33333333333333331</v>
      </c>
      <c r="J37" s="28">
        <v>0.35416666666666669</v>
      </c>
    </row>
    <row r="38" spans="1:10" ht="75.599999999999994" x14ac:dyDescent="0.2">
      <c r="A38" s="20">
        <v>45726</v>
      </c>
      <c r="B38" s="20" t="s">
        <v>15</v>
      </c>
      <c r="C38" s="25" t="s">
        <v>24</v>
      </c>
      <c r="D38" s="25" t="s">
        <v>25</v>
      </c>
      <c r="E38" s="25" t="s">
        <v>26</v>
      </c>
      <c r="F38" s="25" t="s">
        <v>19</v>
      </c>
      <c r="G38" s="26" t="s">
        <v>53</v>
      </c>
      <c r="H38" s="27">
        <f t="shared" si="0"/>
        <v>2.0833333333333315E-2</v>
      </c>
      <c r="I38" s="28">
        <v>0.35416666666666669</v>
      </c>
      <c r="J38" s="28">
        <v>0.375</v>
      </c>
    </row>
    <row r="39" spans="1:10" ht="88.2" x14ac:dyDescent="0.2">
      <c r="A39" s="20">
        <v>45726</v>
      </c>
      <c r="B39" s="25" t="s">
        <v>15</v>
      </c>
      <c r="C39" s="25" t="s">
        <v>24</v>
      </c>
      <c r="D39" s="25" t="s">
        <v>25</v>
      </c>
      <c r="E39" s="25" t="s">
        <v>26</v>
      </c>
      <c r="F39" s="25" t="s">
        <v>19</v>
      </c>
      <c r="G39" s="26" t="s">
        <v>54</v>
      </c>
      <c r="H39" s="27">
        <f t="shared" si="0"/>
        <v>3.3333333333333326E-2</v>
      </c>
      <c r="I39" s="28">
        <v>0.375</v>
      </c>
      <c r="J39" s="28">
        <v>0.40833333333333333</v>
      </c>
    </row>
    <row r="40" spans="1:10" ht="25.2" x14ac:dyDescent="0.2">
      <c r="A40" s="20">
        <v>45726</v>
      </c>
      <c r="B40" s="25" t="s">
        <v>15</v>
      </c>
      <c r="C40" s="25" t="s">
        <v>24</v>
      </c>
      <c r="D40" s="25" t="s">
        <v>25</v>
      </c>
      <c r="E40" s="25" t="s">
        <v>55</v>
      </c>
      <c r="F40" s="25" t="s">
        <v>19</v>
      </c>
      <c r="G40" s="26" t="s">
        <v>56</v>
      </c>
      <c r="H40" s="27">
        <f t="shared" si="0"/>
        <v>4.9999999999999989E-2</v>
      </c>
      <c r="I40" s="28">
        <v>0.40833333333333333</v>
      </c>
      <c r="J40" s="28">
        <v>0.45833333333333331</v>
      </c>
    </row>
    <row r="41" spans="1:10" ht="100.8" x14ac:dyDescent="0.2">
      <c r="A41" s="20">
        <v>45726</v>
      </c>
      <c r="B41" s="25" t="s">
        <v>15</v>
      </c>
      <c r="C41" s="25" t="s">
        <v>24</v>
      </c>
      <c r="D41" s="25" t="s">
        <v>25</v>
      </c>
      <c r="E41" s="25" t="s">
        <v>26</v>
      </c>
      <c r="F41" s="25" t="s">
        <v>19</v>
      </c>
      <c r="G41" s="26" t="s">
        <v>57</v>
      </c>
      <c r="H41" s="27">
        <f t="shared" si="0"/>
        <v>2.083333333333337E-2</v>
      </c>
      <c r="I41" s="28">
        <v>0.45833333333333331</v>
      </c>
      <c r="J41" s="28">
        <v>0.47916666666666669</v>
      </c>
    </row>
    <row r="42" spans="1:10" ht="63" x14ac:dyDescent="0.2">
      <c r="A42" s="20">
        <v>45726</v>
      </c>
      <c r="B42" s="25" t="s">
        <v>15</v>
      </c>
      <c r="C42" s="25" t="s">
        <v>24</v>
      </c>
      <c r="D42" s="25" t="s">
        <v>25</v>
      </c>
      <c r="E42" s="25" t="s">
        <v>55</v>
      </c>
      <c r="F42" s="25" t="s">
        <v>19</v>
      </c>
      <c r="G42" s="26" t="s">
        <v>58</v>
      </c>
      <c r="H42" s="27">
        <f t="shared" si="0"/>
        <v>2.0833333333333315E-2</v>
      </c>
      <c r="I42" s="28">
        <v>0.47916666666666669</v>
      </c>
      <c r="J42" s="28">
        <v>0.5</v>
      </c>
    </row>
    <row r="43" spans="1:10" x14ac:dyDescent="0.2">
      <c r="A43" s="20">
        <v>45726</v>
      </c>
      <c r="B43" s="25" t="s">
        <v>15</v>
      </c>
      <c r="C43" s="25" t="s">
        <v>24</v>
      </c>
      <c r="D43" s="25" t="s">
        <v>25</v>
      </c>
      <c r="E43" s="25" t="s">
        <v>26</v>
      </c>
      <c r="F43" s="25" t="s">
        <v>19</v>
      </c>
      <c r="G43" s="26"/>
      <c r="H43" s="27">
        <f t="shared" si="0"/>
        <v>8.333333333333337E-2</v>
      </c>
      <c r="I43" s="28">
        <v>0.54166666666666663</v>
      </c>
      <c r="J43" s="28">
        <v>0.625</v>
      </c>
    </row>
    <row r="44" spans="1:10" ht="37.799999999999997" x14ac:dyDescent="0.2">
      <c r="A44" s="20">
        <v>45726</v>
      </c>
      <c r="B44" s="25" t="s">
        <v>15</v>
      </c>
      <c r="C44" s="25" t="s">
        <v>24</v>
      </c>
      <c r="D44" s="25" t="s">
        <v>25</v>
      </c>
      <c r="E44" s="25" t="s">
        <v>26</v>
      </c>
      <c r="F44" s="25" t="s">
        <v>19</v>
      </c>
      <c r="G44" s="26" t="s">
        <v>59</v>
      </c>
      <c r="H44" s="27">
        <f t="shared" si="0"/>
        <v>4.166666666666663E-2</v>
      </c>
      <c r="I44" s="28">
        <v>0.625</v>
      </c>
      <c r="J44" s="28">
        <v>0.66666666666666663</v>
      </c>
    </row>
    <row r="45" spans="1:10" ht="37.799999999999997" x14ac:dyDescent="0.2">
      <c r="A45" s="20">
        <v>45726</v>
      </c>
      <c r="B45" s="25" t="s">
        <v>15</v>
      </c>
      <c r="C45" s="25" t="s">
        <v>24</v>
      </c>
      <c r="D45" s="25" t="s">
        <v>25</v>
      </c>
      <c r="E45" s="25" t="s">
        <v>26</v>
      </c>
      <c r="F45" s="25" t="s">
        <v>19</v>
      </c>
      <c r="G45" s="26" t="s">
        <v>60</v>
      </c>
      <c r="H45" s="27">
        <f t="shared" si="0"/>
        <v>6.25E-2</v>
      </c>
      <c r="I45" s="28">
        <v>0.66666666666666663</v>
      </c>
      <c r="J45" s="28">
        <v>0.72916666666666663</v>
      </c>
    </row>
    <row r="46" spans="1:10" ht="25.2" x14ac:dyDescent="0.2">
      <c r="A46" s="20">
        <v>45727</v>
      </c>
      <c r="B46" s="20" t="s">
        <v>28</v>
      </c>
      <c r="C46" s="25" t="s">
        <v>24</v>
      </c>
      <c r="D46" s="25" t="s">
        <v>25</v>
      </c>
      <c r="E46" s="25" t="s">
        <v>51</v>
      </c>
      <c r="F46" s="25" t="s">
        <v>19</v>
      </c>
      <c r="G46" s="26" t="s">
        <v>52</v>
      </c>
      <c r="H46" s="27">
        <f t="shared" si="0"/>
        <v>2.083333333333337E-2</v>
      </c>
      <c r="I46" s="28">
        <v>0.33333333333333331</v>
      </c>
      <c r="J46" s="28">
        <v>0.35416666666666669</v>
      </c>
    </row>
    <row r="47" spans="1:10" ht="50.4" x14ac:dyDescent="0.2">
      <c r="A47" s="20">
        <v>45727</v>
      </c>
      <c r="B47" s="20" t="s">
        <v>28</v>
      </c>
      <c r="C47" s="25" t="s">
        <v>24</v>
      </c>
      <c r="D47" s="25" t="s">
        <v>25</v>
      </c>
      <c r="E47" s="25" t="s">
        <v>26</v>
      </c>
      <c r="F47" s="25" t="s">
        <v>19</v>
      </c>
      <c r="G47" s="26" t="s">
        <v>61</v>
      </c>
      <c r="H47" s="27">
        <f t="shared" si="0"/>
        <v>3.125E-2</v>
      </c>
      <c r="I47" s="28">
        <v>0.35416666666666669</v>
      </c>
      <c r="J47" s="28">
        <v>0.38541666666666669</v>
      </c>
    </row>
    <row r="48" spans="1:10" ht="100.8" x14ac:dyDescent="0.2">
      <c r="A48" s="20">
        <v>45727</v>
      </c>
      <c r="B48" s="20" t="s">
        <v>28</v>
      </c>
      <c r="C48" s="25" t="s">
        <v>24</v>
      </c>
      <c r="D48" s="25" t="s">
        <v>25</v>
      </c>
      <c r="E48" s="25" t="s">
        <v>55</v>
      </c>
      <c r="F48" s="25" t="s">
        <v>19</v>
      </c>
      <c r="G48" s="26" t="s">
        <v>62</v>
      </c>
      <c r="H48" s="27">
        <f t="shared" si="0"/>
        <v>0.11458333333333331</v>
      </c>
      <c r="I48" s="28">
        <v>0.38541666666666669</v>
      </c>
      <c r="J48" s="28">
        <v>0.5</v>
      </c>
    </row>
    <row r="49" spans="1:10" ht="63" x14ac:dyDescent="0.2">
      <c r="A49" s="20">
        <v>45727</v>
      </c>
      <c r="B49" s="20" t="s">
        <v>28</v>
      </c>
      <c r="C49" s="25" t="s">
        <v>24</v>
      </c>
      <c r="D49" s="25" t="s">
        <v>25</v>
      </c>
      <c r="E49" s="25" t="s">
        <v>26</v>
      </c>
      <c r="F49" s="25" t="s">
        <v>19</v>
      </c>
      <c r="G49" s="26" t="s">
        <v>63</v>
      </c>
      <c r="H49" s="27">
        <f t="shared" si="0"/>
        <v>0.125</v>
      </c>
      <c r="I49" s="28">
        <v>0.54166666666666663</v>
      </c>
      <c r="J49" s="28">
        <v>0.66666666666666663</v>
      </c>
    </row>
    <row r="50" spans="1:10" ht="88.2" x14ac:dyDescent="0.2">
      <c r="A50" s="20">
        <v>45727</v>
      </c>
      <c r="B50" s="20" t="s">
        <v>28</v>
      </c>
      <c r="C50" s="25" t="s">
        <v>24</v>
      </c>
      <c r="D50" s="25" t="s">
        <v>25</v>
      </c>
      <c r="E50" s="25" t="s">
        <v>26</v>
      </c>
      <c r="F50" s="25" t="s">
        <v>19</v>
      </c>
      <c r="G50" s="26" t="s">
        <v>64</v>
      </c>
      <c r="H50" s="27">
        <f t="shared" si="0"/>
        <v>6.597222222222221E-2</v>
      </c>
      <c r="I50" s="28">
        <v>0.66666666666666663</v>
      </c>
      <c r="J50" s="28">
        <v>0.73263888888888884</v>
      </c>
    </row>
    <row r="51" spans="1:10" ht="50.4" x14ac:dyDescent="0.2">
      <c r="A51" s="44">
        <v>45728</v>
      </c>
      <c r="B51" s="20" t="s">
        <v>34</v>
      </c>
      <c r="C51" s="25" t="s">
        <v>24</v>
      </c>
      <c r="D51" s="25" t="s">
        <v>25</v>
      </c>
      <c r="E51" s="25" t="s">
        <v>26</v>
      </c>
      <c r="F51" s="25" t="s">
        <v>19</v>
      </c>
      <c r="G51" s="26" t="s">
        <v>65</v>
      </c>
      <c r="H51" s="27">
        <f t="shared" si="0"/>
        <v>1.7361111111111105E-2</v>
      </c>
      <c r="I51" s="28">
        <v>0.33333333333333331</v>
      </c>
      <c r="J51" s="28">
        <v>0.35069444444444442</v>
      </c>
    </row>
    <row r="52" spans="1:10" ht="126" x14ac:dyDescent="0.2">
      <c r="A52" s="20">
        <v>45728</v>
      </c>
      <c r="B52" s="20" t="s">
        <v>34</v>
      </c>
      <c r="C52" s="25" t="s">
        <v>24</v>
      </c>
      <c r="D52" s="25" t="s">
        <v>25</v>
      </c>
      <c r="E52" s="25" t="s">
        <v>55</v>
      </c>
      <c r="F52" s="25" t="s">
        <v>19</v>
      </c>
      <c r="G52" s="26" t="s">
        <v>66</v>
      </c>
      <c r="H52" s="27">
        <f t="shared" si="0"/>
        <v>0.1076388888888889</v>
      </c>
      <c r="I52" s="28">
        <v>0.35069444444444442</v>
      </c>
      <c r="J52" s="28">
        <v>0.45833333333333331</v>
      </c>
    </row>
    <row r="53" spans="1:10" ht="75.599999999999994" x14ac:dyDescent="0.2">
      <c r="A53" s="20">
        <v>45728</v>
      </c>
      <c r="B53" s="20" t="s">
        <v>34</v>
      </c>
      <c r="C53" s="25" t="s">
        <v>24</v>
      </c>
      <c r="D53" s="25" t="s">
        <v>25</v>
      </c>
      <c r="E53" s="25" t="s">
        <v>26</v>
      </c>
      <c r="F53" s="25" t="s">
        <v>19</v>
      </c>
      <c r="G53" s="26" t="s">
        <v>67</v>
      </c>
      <c r="H53" s="27">
        <f t="shared" si="0"/>
        <v>4.1666666666666685E-2</v>
      </c>
      <c r="I53" s="28">
        <v>0.45833333333333331</v>
      </c>
      <c r="J53" s="28">
        <v>0.5</v>
      </c>
    </row>
    <row r="54" spans="1:10" ht="75.599999999999994" x14ac:dyDescent="0.2">
      <c r="A54" s="20">
        <v>45728</v>
      </c>
      <c r="B54" s="20" t="s">
        <v>34</v>
      </c>
      <c r="C54" s="25" t="s">
        <v>24</v>
      </c>
      <c r="D54" s="25" t="s">
        <v>25</v>
      </c>
      <c r="E54" s="25" t="s">
        <v>55</v>
      </c>
      <c r="F54" s="25" t="s">
        <v>19</v>
      </c>
      <c r="G54" s="26" t="s">
        <v>68</v>
      </c>
      <c r="H54" s="27">
        <f t="shared" si="0"/>
        <v>0.125</v>
      </c>
      <c r="I54" s="28">
        <v>0.54166666666666663</v>
      </c>
      <c r="J54" s="28">
        <v>0.66666666666666663</v>
      </c>
    </row>
    <row r="55" spans="1:10" ht="88.2" x14ac:dyDescent="0.2">
      <c r="A55" s="20">
        <v>45728</v>
      </c>
      <c r="B55" s="20" t="s">
        <v>34</v>
      </c>
      <c r="C55" s="25" t="s">
        <v>24</v>
      </c>
      <c r="D55" s="25" t="s">
        <v>25</v>
      </c>
      <c r="E55" s="25" t="s">
        <v>26</v>
      </c>
      <c r="F55" s="25" t="s">
        <v>19</v>
      </c>
      <c r="G55" s="26" t="s">
        <v>69</v>
      </c>
      <c r="H55" s="27">
        <f t="shared" si="0"/>
        <v>6.5277777777777768E-2</v>
      </c>
      <c r="I55" s="28">
        <v>0.66666666666666663</v>
      </c>
      <c r="J55" s="28">
        <v>0.7319444444444444</v>
      </c>
    </row>
    <row r="56" spans="1:10" ht="50.4" x14ac:dyDescent="0.2">
      <c r="A56" s="20">
        <v>45729</v>
      </c>
      <c r="B56" s="20" t="s">
        <v>38</v>
      </c>
      <c r="C56" s="25" t="s">
        <v>24</v>
      </c>
      <c r="D56" s="25" t="s">
        <v>25</v>
      </c>
      <c r="E56" s="25" t="s">
        <v>26</v>
      </c>
      <c r="F56" s="25" t="s">
        <v>19</v>
      </c>
      <c r="G56" s="26" t="s">
        <v>70</v>
      </c>
      <c r="H56" s="27">
        <f t="shared" si="0"/>
        <v>1.3888888888888895E-2</v>
      </c>
      <c r="I56" s="28">
        <v>0.33333333333333331</v>
      </c>
      <c r="J56" s="28">
        <v>0.34722222222222221</v>
      </c>
    </row>
    <row r="57" spans="1:10" ht="63" x14ac:dyDescent="0.2">
      <c r="A57" s="20">
        <v>45729</v>
      </c>
      <c r="B57" s="20" t="s">
        <v>38</v>
      </c>
      <c r="C57" s="25" t="s">
        <v>24</v>
      </c>
      <c r="D57" s="25" t="s">
        <v>25</v>
      </c>
      <c r="E57" s="25" t="s">
        <v>55</v>
      </c>
      <c r="F57" s="25" t="s">
        <v>19</v>
      </c>
      <c r="G57" s="26" t="s">
        <v>71</v>
      </c>
      <c r="H57" s="27">
        <f t="shared" si="0"/>
        <v>0.1111111111111111</v>
      </c>
      <c r="I57" s="28">
        <v>0.34722222222222221</v>
      </c>
      <c r="J57" s="28">
        <v>0.45833333333333331</v>
      </c>
    </row>
    <row r="58" spans="1:10" ht="50.4" x14ac:dyDescent="0.2">
      <c r="A58" s="20">
        <v>45729</v>
      </c>
      <c r="B58" s="20" t="s">
        <v>38</v>
      </c>
      <c r="C58" s="25" t="s">
        <v>24</v>
      </c>
      <c r="D58" s="25" t="s">
        <v>25</v>
      </c>
      <c r="E58" s="25" t="s">
        <v>26</v>
      </c>
      <c r="F58" s="25" t="s">
        <v>19</v>
      </c>
      <c r="G58" s="26" t="s">
        <v>72</v>
      </c>
      <c r="H58" s="27">
        <f t="shared" si="0"/>
        <v>4.1666666666666685E-2</v>
      </c>
      <c r="I58" s="28">
        <v>0.45833333333333331</v>
      </c>
      <c r="J58" s="28">
        <v>0.5</v>
      </c>
    </row>
    <row r="59" spans="1:10" ht="100.8" x14ac:dyDescent="0.2">
      <c r="A59" s="20">
        <v>45729</v>
      </c>
      <c r="B59" s="20" t="s">
        <v>38</v>
      </c>
      <c r="C59" s="25" t="s">
        <v>24</v>
      </c>
      <c r="D59" s="25" t="s">
        <v>25</v>
      </c>
      <c r="E59" s="25" t="s">
        <v>55</v>
      </c>
      <c r="F59" s="25" t="s">
        <v>19</v>
      </c>
      <c r="G59" s="26" t="s">
        <v>73</v>
      </c>
      <c r="H59" s="27">
        <f t="shared" si="0"/>
        <v>0.125</v>
      </c>
      <c r="I59" s="28">
        <v>0.54166666666666663</v>
      </c>
      <c r="J59" s="28">
        <v>0.66666666666666663</v>
      </c>
    </row>
    <row r="60" spans="1:10" ht="63" x14ac:dyDescent="0.2">
      <c r="A60" s="20">
        <v>45729</v>
      </c>
      <c r="B60" s="20" t="s">
        <v>38</v>
      </c>
      <c r="C60" s="25" t="s">
        <v>24</v>
      </c>
      <c r="D60" s="25" t="s">
        <v>25</v>
      </c>
      <c r="E60" s="25" t="s">
        <v>26</v>
      </c>
      <c r="F60" s="25" t="s">
        <v>19</v>
      </c>
      <c r="G60" s="26" t="s">
        <v>74</v>
      </c>
      <c r="H60" s="27">
        <f t="shared" si="0"/>
        <v>2.083333333333337E-2</v>
      </c>
      <c r="I60" s="28">
        <v>0.66666666666666663</v>
      </c>
      <c r="J60" s="28">
        <v>0.6875</v>
      </c>
    </row>
    <row r="61" spans="1:10" ht="151.19999999999999" x14ac:dyDescent="0.2">
      <c r="A61" s="20">
        <v>45729</v>
      </c>
      <c r="B61" s="20" t="s">
        <v>38</v>
      </c>
      <c r="C61" s="25" t="s">
        <v>24</v>
      </c>
      <c r="D61" s="25" t="s">
        <v>25</v>
      </c>
      <c r="E61" s="25" t="s">
        <v>26</v>
      </c>
      <c r="F61" s="25" t="s">
        <v>19</v>
      </c>
      <c r="G61" s="26" t="s">
        <v>75</v>
      </c>
      <c r="H61" s="27">
        <f t="shared" si="0"/>
        <v>4.166666666666663E-2</v>
      </c>
      <c r="I61" s="28">
        <v>0.6875</v>
      </c>
      <c r="J61" s="28">
        <v>0.72916666666666663</v>
      </c>
    </row>
    <row r="62" spans="1:10" ht="37.799999999999997" x14ac:dyDescent="0.2">
      <c r="A62" s="20">
        <v>45730</v>
      </c>
      <c r="B62" s="20" t="s">
        <v>46</v>
      </c>
      <c r="C62" s="25" t="s">
        <v>24</v>
      </c>
      <c r="D62" s="25" t="s">
        <v>25</v>
      </c>
      <c r="E62" s="25" t="s">
        <v>26</v>
      </c>
      <c r="F62" s="25" t="s">
        <v>19</v>
      </c>
      <c r="G62" s="26" t="s">
        <v>76</v>
      </c>
      <c r="H62" s="27">
        <f t="shared" si="0"/>
        <v>1.3888888888888895E-2</v>
      </c>
      <c r="I62" s="28">
        <v>0.33333333333333331</v>
      </c>
      <c r="J62" s="28">
        <v>0.34722222222222221</v>
      </c>
    </row>
    <row r="63" spans="1:10" ht="113.4" x14ac:dyDescent="0.2">
      <c r="A63" s="20">
        <v>45730</v>
      </c>
      <c r="B63" s="20" t="s">
        <v>46</v>
      </c>
      <c r="C63" s="25" t="s">
        <v>24</v>
      </c>
      <c r="D63" s="25" t="s">
        <v>25</v>
      </c>
      <c r="E63" s="25" t="s">
        <v>55</v>
      </c>
      <c r="F63" s="25" t="s">
        <v>19</v>
      </c>
      <c r="G63" s="26" t="s">
        <v>77</v>
      </c>
      <c r="H63" s="27">
        <f t="shared" si="0"/>
        <v>0.1111111111111111</v>
      </c>
      <c r="I63" s="28">
        <v>0.34722222222222221</v>
      </c>
      <c r="J63" s="28">
        <v>0.45833333333333331</v>
      </c>
    </row>
    <row r="64" spans="1:10" ht="50.4" x14ac:dyDescent="0.2">
      <c r="A64" s="20">
        <v>45730</v>
      </c>
      <c r="B64" s="20" t="s">
        <v>46</v>
      </c>
      <c r="C64" s="25" t="s">
        <v>24</v>
      </c>
      <c r="D64" s="25" t="s">
        <v>25</v>
      </c>
      <c r="E64" s="25" t="s">
        <v>26</v>
      </c>
      <c r="F64" s="25" t="s">
        <v>19</v>
      </c>
      <c r="G64" s="26" t="s">
        <v>78</v>
      </c>
      <c r="H64" s="27">
        <f t="shared" si="0"/>
        <v>4.1666666666666685E-2</v>
      </c>
      <c r="I64" s="28">
        <v>0.45833333333333331</v>
      </c>
      <c r="J64" s="28">
        <v>0.5</v>
      </c>
    </row>
    <row r="65" spans="1:10" ht="50.4" x14ac:dyDescent="0.2">
      <c r="A65" s="20"/>
      <c r="B65" s="20"/>
      <c r="C65" s="25"/>
      <c r="D65" s="25"/>
      <c r="E65" s="25" t="s">
        <v>55</v>
      </c>
      <c r="F65" s="25" t="s">
        <v>19</v>
      </c>
      <c r="G65" s="26" t="s">
        <v>79</v>
      </c>
      <c r="H65" s="27">
        <f t="shared" si="0"/>
        <v>0.125</v>
      </c>
      <c r="I65" s="28">
        <v>0.54166666666666663</v>
      </c>
      <c r="J65" s="28">
        <v>0.66666666666666663</v>
      </c>
    </row>
    <row r="66" spans="1:10" ht="88.2" x14ac:dyDescent="0.2">
      <c r="A66" s="20">
        <v>45730</v>
      </c>
      <c r="B66" s="20" t="s">
        <v>46</v>
      </c>
      <c r="C66" s="25" t="s">
        <v>24</v>
      </c>
      <c r="D66" s="25" t="s">
        <v>25</v>
      </c>
      <c r="E66" s="25" t="s">
        <v>26</v>
      </c>
      <c r="F66" s="25" t="s">
        <v>19</v>
      </c>
      <c r="G66" s="26" t="s">
        <v>80</v>
      </c>
      <c r="H66" s="27">
        <f t="shared" si="0"/>
        <v>5.208333333333337E-2</v>
      </c>
      <c r="I66" s="28">
        <v>0.66666666666666663</v>
      </c>
      <c r="J66" s="28">
        <v>0.71875</v>
      </c>
    </row>
    <row r="67" spans="1:10" x14ac:dyDescent="0.2">
      <c r="A67" s="29">
        <v>45731</v>
      </c>
      <c r="B67" s="29" t="s">
        <v>13</v>
      </c>
      <c r="C67" s="30"/>
      <c r="D67" s="30"/>
      <c r="E67" s="30"/>
      <c r="F67" s="30"/>
      <c r="G67" s="31"/>
      <c r="H67" s="32">
        <f t="shared" si="0"/>
        <v>0</v>
      </c>
      <c r="I67" s="33"/>
      <c r="J67" s="33"/>
    </row>
    <row r="68" spans="1:10" x14ac:dyDescent="0.2">
      <c r="A68" s="29">
        <v>45732</v>
      </c>
      <c r="B68" s="29" t="s">
        <v>14</v>
      </c>
      <c r="C68" s="30"/>
      <c r="D68" s="30"/>
      <c r="E68" s="30"/>
      <c r="F68" s="30"/>
      <c r="G68" s="31"/>
      <c r="H68" s="32">
        <f t="shared" si="0"/>
        <v>0</v>
      </c>
      <c r="I68" s="33"/>
      <c r="J68" s="33"/>
    </row>
    <row r="69" spans="1:10" ht="100.8" x14ac:dyDescent="0.2">
      <c r="A69" s="20">
        <v>45733</v>
      </c>
      <c r="B69" s="20" t="s">
        <v>15</v>
      </c>
      <c r="C69" s="25" t="s">
        <v>24</v>
      </c>
      <c r="D69" s="25" t="s">
        <v>25</v>
      </c>
      <c r="E69" s="25" t="s">
        <v>26</v>
      </c>
      <c r="F69" s="25" t="s">
        <v>19</v>
      </c>
      <c r="G69" s="26" t="s">
        <v>81</v>
      </c>
      <c r="H69" s="27">
        <f t="shared" si="0"/>
        <v>2.083333333333337E-2</v>
      </c>
      <c r="I69" s="28">
        <v>0.33333333333333331</v>
      </c>
      <c r="J69" s="28">
        <v>0.35416666666666669</v>
      </c>
    </row>
    <row r="70" spans="1:10" ht="25.2" x14ac:dyDescent="0.2">
      <c r="A70" s="20">
        <v>45733</v>
      </c>
      <c r="B70" s="20" t="s">
        <v>15</v>
      </c>
      <c r="C70" s="25" t="s">
        <v>24</v>
      </c>
      <c r="D70" s="25" t="s">
        <v>25</v>
      </c>
      <c r="E70" s="25" t="s">
        <v>55</v>
      </c>
      <c r="F70" s="25" t="s">
        <v>19</v>
      </c>
      <c r="G70" s="26" t="s">
        <v>82</v>
      </c>
      <c r="H70" s="27">
        <f t="shared" si="0"/>
        <v>0.10416666666666663</v>
      </c>
      <c r="I70" s="28">
        <v>0.35416666666666669</v>
      </c>
      <c r="J70" s="28">
        <v>0.45833333333333331</v>
      </c>
    </row>
    <row r="71" spans="1:10" ht="63" x14ac:dyDescent="0.2">
      <c r="A71" s="20">
        <v>45733</v>
      </c>
      <c r="B71" s="20" t="s">
        <v>15</v>
      </c>
      <c r="C71" s="25" t="s">
        <v>24</v>
      </c>
      <c r="D71" s="25" t="s">
        <v>25</v>
      </c>
      <c r="E71" s="25" t="s">
        <v>26</v>
      </c>
      <c r="F71" s="25" t="s">
        <v>19</v>
      </c>
      <c r="G71" s="26" t="s">
        <v>83</v>
      </c>
      <c r="H71" s="27">
        <f t="shared" si="0"/>
        <v>4.1666666666666685E-2</v>
      </c>
      <c r="I71" s="28">
        <v>0.45833333333333331</v>
      </c>
      <c r="J71" s="28">
        <v>0.5</v>
      </c>
    </row>
    <row r="72" spans="1:10" ht="63" x14ac:dyDescent="0.2">
      <c r="A72" s="20">
        <v>45733</v>
      </c>
      <c r="B72" s="20" t="s">
        <v>15</v>
      </c>
      <c r="C72" s="25" t="s">
        <v>24</v>
      </c>
      <c r="D72" s="25" t="s">
        <v>25</v>
      </c>
      <c r="E72" s="25" t="s">
        <v>55</v>
      </c>
      <c r="F72" s="25" t="s">
        <v>19</v>
      </c>
      <c r="G72" s="26" t="s">
        <v>84</v>
      </c>
      <c r="H72" s="27">
        <f t="shared" si="0"/>
        <v>0.125</v>
      </c>
      <c r="I72" s="28">
        <v>0.54166666666666663</v>
      </c>
      <c r="J72" s="28">
        <v>0.66666666666666663</v>
      </c>
    </row>
    <row r="73" spans="1:10" ht="100.8" x14ac:dyDescent="0.2">
      <c r="A73" s="20">
        <v>45733</v>
      </c>
      <c r="B73" s="20" t="s">
        <v>15</v>
      </c>
      <c r="C73" s="25" t="s">
        <v>24</v>
      </c>
      <c r="D73" s="25" t="s">
        <v>25</v>
      </c>
      <c r="E73" s="25" t="s">
        <v>26</v>
      </c>
      <c r="F73" s="25" t="s">
        <v>19</v>
      </c>
      <c r="G73" s="26" t="s">
        <v>85</v>
      </c>
      <c r="H73" s="27">
        <f t="shared" si="0"/>
        <v>6.597222222222221E-2</v>
      </c>
      <c r="I73" s="28">
        <v>0.66666666666666663</v>
      </c>
      <c r="J73" s="28">
        <v>0.73263888888888884</v>
      </c>
    </row>
    <row r="74" spans="1:10" ht="50.4" x14ac:dyDescent="0.2">
      <c r="A74" s="20">
        <v>45734</v>
      </c>
      <c r="B74" s="20" t="s">
        <v>28</v>
      </c>
      <c r="C74" s="25" t="s">
        <v>24</v>
      </c>
      <c r="D74" s="25" t="s">
        <v>25</v>
      </c>
      <c r="E74" s="25" t="s">
        <v>26</v>
      </c>
      <c r="F74" s="25" t="s">
        <v>19</v>
      </c>
      <c r="G74" s="26" t="s">
        <v>86</v>
      </c>
      <c r="H74" s="27">
        <f t="shared" si="0"/>
        <v>1.3888888888888895E-2</v>
      </c>
      <c r="I74" s="28">
        <v>0.33333333333333331</v>
      </c>
      <c r="J74" s="28">
        <v>0.34722222222222221</v>
      </c>
    </row>
    <row r="75" spans="1:10" ht="100.8" x14ac:dyDescent="0.2">
      <c r="A75" s="20">
        <v>45734</v>
      </c>
      <c r="B75" s="20" t="s">
        <v>28</v>
      </c>
      <c r="C75" s="25" t="s">
        <v>24</v>
      </c>
      <c r="D75" s="25" t="s">
        <v>25</v>
      </c>
      <c r="E75" s="25" t="s">
        <v>55</v>
      </c>
      <c r="F75" s="25" t="s">
        <v>19</v>
      </c>
      <c r="G75" s="26" t="s">
        <v>87</v>
      </c>
      <c r="H75" s="27">
        <f t="shared" si="0"/>
        <v>0.1111111111111111</v>
      </c>
      <c r="I75" s="28">
        <v>0.34722222222222221</v>
      </c>
      <c r="J75" s="28">
        <v>0.45833333333333331</v>
      </c>
    </row>
    <row r="76" spans="1:10" ht="50.4" x14ac:dyDescent="0.2">
      <c r="A76" s="20">
        <v>45734</v>
      </c>
      <c r="B76" s="20" t="s">
        <v>28</v>
      </c>
      <c r="C76" s="25" t="s">
        <v>24</v>
      </c>
      <c r="D76" s="25" t="s">
        <v>25</v>
      </c>
      <c r="E76" s="25" t="s">
        <v>26</v>
      </c>
      <c r="F76" s="25" t="s">
        <v>19</v>
      </c>
      <c r="G76" s="26" t="s">
        <v>88</v>
      </c>
      <c r="H76" s="27">
        <f t="shared" si="0"/>
        <v>4.1666666666666685E-2</v>
      </c>
      <c r="I76" s="28">
        <v>0.45833333333333331</v>
      </c>
      <c r="J76" s="28">
        <v>0.5</v>
      </c>
    </row>
    <row r="77" spans="1:10" ht="75.599999999999994" x14ac:dyDescent="0.2">
      <c r="A77" s="20">
        <v>45734</v>
      </c>
      <c r="B77" s="20" t="s">
        <v>28</v>
      </c>
      <c r="C77" s="25" t="s">
        <v>24</v>
      </c>
      <c r="D77" s="25" t="s">
        <v>25</v>
      </c>
      <c r="E77" s="25" t="s">
        <v>55</v>
      </c>
      <c r="F77" s="25" t="s">
        <v>19</v>
      </c>
      <c r="G77" s="26" t="s">
        <v>89</v>
      </c>
      <c r="H77" s="27">
        <f t="shared" si="0"/>
        <v>0.125</v>
      </c>
      <c r="I77" s="28">
        <v>0.54166666666666663</v>
      </c>
      <c r="J77" s="28">
        <v>0.66666666666666663</v>
      </c>
    </row>
    <row r="78" spans="1:10" ht="75.599999999999994" x14ac:dyDescent="0.2">
      <c r="A78" s="20">
        <v>45734</v>
      </c>
      <c r="B78" s="20" t="s">
        <v>28</v>
      </c>
      <c r="C78" s="25" t="s">
        <v>24</v>
      </c>
      <c r="D78" s="25" t="s">
        <v>25</v>
      </c>
      <c r="E78" s="25" t="s">
        <v>26</v>
      </c>
      <c r="F78" s="25" t="s">
        <v>19</v>
      </c>
      <c r="G78" s="26" t="s">
        <v>90</v>
      </c>
      <c r="H78" s="27">
        <f t="shared" si="0"/>
        <v>8.333333333333337E-2</v>
      </c>
      <c r="I78" s="28">
        <v>0.66666666666666663</v>
      </c>
      <c r="J78" s="28">
        <v>0.75</v>
      </c>
    </row>
    <row r="79" spans="1:10" ht="37.799999999999997" x14ac:dyDescent="0.2">
      <c r="A79" s="20">
        <v>45735</v>
      </c>
      <c r="B79" s="20" t="s">
        <v>34</v>
      </c>
      <c r="C79" s="25" t="s">
        <v>24</v>
      </c>
      <c r="D79" s="25" t="s">
        <v>25</v>
      </c>
      <c r="E79" s="25" t="s">
        <v>26</v>
      </c>
      <c r="F79" s="25" t="s">
        <v>19</v>
      </c>
      <c r="G79" s="26" t="s">
        <v>91</v>
      </c>
      <c r="H79" s="27">
        <f t="shared" si="0"/>
        <v>1.0416666666666685E-2</v>
      </c>
      <c r="I79" s="28">
        <v>0.33333333333333331</v>
      </c>
      <c r="J79" s="28">
        <v>0.34375</v>
      </c>
    </row>
    <row r="80" spans="1:10" ht="63" x14ac:dyDescent="0.2">
      <c r="A80" s="20">
        <v>45735</v>
      </c>
      <c r="B80" s="20" t="s">
        <v>34</v>
      </c>
      <c r="C80" s="25" t="s">
        <v>24</v>
      </c>
      <c r="D80" s="25" t="s">
        <v>25</v>
      </c>
      <c r="E80" s="25" t="s">
        <v>55</v>
      </c>
      <c r="F80" s="25" t="s">
        <v>19</v>
      </c>
      <c r="G80" s="26" t="s">
        <v>92</v>
      </c>
      <c r="H80" s="27">
        <f t="shared" si="0"/>
        <v>0.11458333333333331</v>
      </c>
      <c r="I80" s="28">
        <v>0.34375</v>
      </c>
      <c r="J80" s="28">
        <v>0.45833333333333331</v>
      </c>
    </row>
    <row r="81" spans="1:10" ht="126" x14ac:dyDescent="0.2">
      <c r="A81" s="20">
        <v>45735</v>
      </c>
      <c r="B81" s="20" t="s">
        <v>34</v>
      </c>
      <c r="C81" s="25" t="s">
        <v>24</v>
      </c>
      <c r="D81" s="25" t="s">
        <v>25</v>
      </c>
      <c r="E81" s="25" t="s">
        <v>26</v>
      </c>
      <c r="F81" s="25" t="s">
        <v>19</v>
      </c>
      <c r="G81" s="26" t="s">
        <v>93</v>
      </c>
      <c r="H81" s="27">
        <f t="shared" si="0"/>
        <v>2.083333333333337E-2</v>
      </c>
      <c r="I81" s="28">
        <v>0.45833333333333331</v>
      </c>
      <c r="J81" s="28">
        <v>0.47916666666666669</v>
      </c>
    </row>
    <row r="82" spans="1:10" ht="25.2" x14ac:dyDescent="0.2">
      <c r="A82" s="20"/>
      <c r="B82" s="20"/>
      <c r="C82" s="25"/>
      <c r="D82" s="25"/>
      <c r="E82" s="25"/>
      <c r="F82" s="25"/>
      <c r="G82" s="26" t="s">
        <v>94</v>
      </c>
      <c r="H82" s="27">
        <f t="shared" si="0"/>
        <v>2.0833333333333315E-2</v>
      </c>
      <c r="I82" s="28">
        <v>0.47916666666666669</v>
      </c>
      <c r="J82" s="28">
        <v>0.5</v>
      </c>
    </row>
    <row r="83" spans="1:10" ht="63" x14ac:dyDescent="0.2">
      <c r="A83" s="20">
        <v>45735</v>
      </c>
      <c r="B83" s="20" t="s">
        <v>34</v>
      </c>
      <c r="C83" s="25" t="s">
        <v>24</v>
      </c>
      <c r="D83" s="25" t="s">
        <v>25</v>
      </c>
      <c r="E83" s="25" t="s">
        <v>55</v>
      </c>
      <c r="F83" s="25" t="s">
        <v>19</v>
      </c>
      <c r="G83" s="26" t="s">
        <v>95</v>
      </c>
      <c r="H83" s="27">
        <f t="shared" si="0"/>
        <v>0.125</v>
      </c>
      <c r="I83" s="28">
        <v>0.54166666666666663</v>
      </c>
      <c r="J83" s="28">
        <v>0.66666666666666663</v>
      </c>
    </row>
    <row r="84" spans="1:10" ht="88.2" x14ac:dyDescent="0.2">
      <c r="A84" s="20">
        <v>45735</v>
      </c>
      <c r="B84" s="20" t="s">
        <v>34</v>
      </c>
      <c r="C84" s="25" t="s">
        <v>24</v>
      </c>
      <c r="D84" s="25" t="s">
        <v>25</v>
      </c>
      <c r="E84" s="25" t="s">
        <v>26</v>
      </c>
      <c r="F84" s="25" t="s">
        <v>19</v>
      </c>
      <c r="G84" s="26" t="s">
        <v>96</v>
      </c>
      <c r="H84" s="27">
        <f t="shared" si="0"/>
        <v>0.10069444444444453</v>
      </c>
      <c r="I84" s="28">
        <v>0.66666666666666663</v>
      </c>
      <c r="J84" s="28">
        <v>0.76736111111111116</v>
      </c>
    </row>
    <row r="85" spans="1:10" ht="63" x14ac:dyDescent="0.2">
      <c r="A85" s="20">
        <v>45736</v>
      </c>
      <c r="B85" s="20" t="s">
        <v>38</v>
      </c>
      <c r="C85" s="25" t="s">
        <v>24</v>
      </c>
      <c r="D85" s="25" t="s">
        <v>25</v>
      </c>
      <c r="E85" s="25" t="s">
        <v>26</v>
      </c>
      <c r="F85" s="25" t="s">
        <v>19</v>
      </c>
      <c r="G85" s="26" t="s">
        <v>97</v>
      </c>
      <c r="H85" s="27">
        <f t="shared" si="0"/>
        <v>6.9444444444444753E-3</v>
      </c>
      <c r="I85" s="28">
        <v>0.33333333333333331</v>
      </c>
      <c r="J85" s="28">
        <v>0.34027777777777779</v>
      </c>
    </row>
    <row r="86" spans="1:10" ht="88.2" x14ac:dyDescent="0.2">
      <c r="A86" s="20">
        <v>45736</v>
      </c>
      <c r="B86" s="20" t="s">
        <v>38</v>
      </c>
      <c r="C86" s="25" t="s">
        <v>24</v>
      </c>
      <c r="D86" s="25" t="s">
        <v>25</v>
      </c>
      <c r="E86" s="25" t="s">
        <v>55</v>
      </c>
      <c r="F86" s="25" t="s">
        <v>19</v>
      </c>
      <c r="G86" s="26" t="s">
        <v>98</v>
      </c>
      <c r="H86" s="27">
        <f t="shared" si="0"/>
        <v>0.11805555555555552</v>
      </c>
      <c r="I86" s="28">
        <v>0.34027777777777779</v>
      </c>
      <c r="J86" s="28">
        <v>0.45833333333333331</v>
      </c>
    </row>
    <row r="87" spans="1:10" ht="75.599999999999994" x14ac:dyDescent="0.2">
      <c r="A87" s="20">
        <v>45736</v>
      </c>
      <c r="B87" s="20" t="s">
        <v>38</v>
      </c>
      <c r="C87" s="25" t="s">
        <v>24</v>
      </c>
      <c r="D87" s="25" t="s">
        <v>25</v>
      </c>
      <c r="E87" s="25" t="s">
        <v>26</v>
      </c>
      <c r="F87" s="25" t="s">
        <v>19</v>
      </c>
      <c r="G87" s="26" t="s">
        <v>99</v>
      </c>
      <c r="H87" s="27">
        <f t="shared" si="0"/>
        <v>1.7361111111111105E-2</v>
      </c>
      <c r="I87" s="28">
        <v>0.45833333333333331</v>
      </c>
      <c r="J87" s="28">
        <v>0.47569444444444442</v>
      </c>
    </row>
    <row r="88" spans="1:10" ht="75.599999999999994" x14ac:dyDescent="0.2">
      <c r="A88" s="20">
        <v>45736</v>
      </c>
      <c r="B88" s="20" t="s">
        <v>38</v>
      </c>
      <c r="C88" s="25" t="s">
        <v>24</v>
      </c>
      <c r="D88" s="25" t="s">
        <v>25</v>
      </c>
      <c r="E88" s="25" t="s">
        <v>55</v>
      </c>
      <c r="F88" s="25" t="s">
        <v>19</v>
      </c>
      <c r="G88" s="26" t="s">
        <v>100</v>
      </c>
      <c r="H88" s="27">
        <f t="shared" si="0"/>
        <v>2.430555555555558E-2</v>
      </c>
      <c r="I88" s="28">
        <v>0.47569444444444442</v>
      </c>
      <c r="J88" s="28">
        <v>0.5</v>
      </c>
    </row>
    <row r="89" spans="1:10" ht="100.8" x14ac:dyDescent="0.2">
      <c r="A89" s="20">
        <v>45736</v>
      </c>
      <c r="B89" s="20" t="s">
        <v>38</v>
      </c>
      <c r="C89" s="25" t="s">
        <v>24</v>
      </c>
      <c r="D89" s="25" t="s">
        <v>25</v>
      </c>
      <c r="E89" s="25" t="s">
        <v>26</v>
      </c>
      <c r="F89" s="25" t="s">
        <v>19</v>
      </c>
      <c r="G89" s="26" t="s">
        <v>101</v>
      </c>
      <c r="H89" s="27">
        <f t="shared" si="0"/>
        <v>4.166666666666663E-2</v>
      </c>
      <c r="I89" s="28">
        <v>0.5</v>
      </c>
      <c r="J89" s="28">
        <v>0.54166666666666663</v>
      </c>
    </row>
    <row r="90" spans="1:10" ht="126" x14ac:dyDescent="0.2">
      <c r="A90" s="20">
        <v>45736</v>
      </c>
      <c r="B90" s="20" t="s">
        <v>38</v>
      </c>
      <c r="C90" s="25" t="s">
        <v>24</v>
      </c>
      <c r="D90" s="25" t="s">
        <v>25</v>
      </c>
      <c r="E90" s="25" t="s">
        <v>55</v>
      </c>
      <c r="F90" s="25" t="s">
        <v>19</v>
      </c>
      <c r="G90" s="26" t="s">
        <v>102</v>
      </c>
      <c r="H90" s="27">
        <f t="shared" si="0"/>
        <v>8.3333333333333259E-2</v>
      </c>
      <c r="I90" s="28">
        <v>0.58333333333333337</v>
      </c>
      <c r="J90" s="28">
        <v>0.66666666666666663</v>
      </c>
    </row>
    <row r="91" spans="1:10" ht="63" x14ac:dyDescent="0.2">
      <c r="A91" s="20">
        <v>45736</v>
      </c>
      <c r="B91" s="20" t="s">
        <v>38</v>
      </c>
      <c r="C91" s="25" t="s">
        <v>24</v>
      </c>
      <c r="D91" s="25" t="s">
        <v>25</v>
      </c>
      <c r="E91" s="25" t="s">
        <v>26</v>
      </c>
      <c r="F91" s="25" t="s">
        <v>19</v>
      </c>
      <c r="G91" s="26" t="s">
        <v>103</v>
      </c>
      <c r="H91" s="27">
        <f t="shared" si="0"/>
        <v>4.5138888888888951E-2</v>
      </c>
      <c r="I91" s="28">
        <v>0.66666666666666663</v>
      </c>
      <c r="J91" s="28">
        <v>0.71180555555555558</v>
      </c>
    </row>
    <row r="92" spans="1:10" x14ac:dyDescent="0.2">
      <c r="A92" s="45">
        <v>45737</v>
      </c>
      <c r="B92" s="45" t="s">
        <v>46</v>
      </c>
      <c r="C92" s="46"/>
      <c r="D92" s="46"/>
      <c r="E92" s="46" t="s">
        <v>104</v>
      </c>
      <c r="F92" s="46" t="s">
        <v>19</v>
      </c>
      <c r="G92" s="47" t="s">
        <v>105</v>
      </c>
      <c r="H92" s="48">
        <f t="shared" si="0"/>
        <v>0.33333333333333331</v>
      </c>
      <c r="I92" s="49">
        <v>0.33333333333333331</v>
      </c>
      <c r="J92" s="49">
        <v>0.66666666666666663</v>
      </c>
    </row>
    <row r="93" spans="1:10" x14ac:dyDescent="0.2">
      <c r="A93" s="29">
        <v>45738</v>
      </c>
      <c r="B93" s="29" t="s">
        <v>13</v>
      </c>
      <c r="C93" s="30"/>
      <c r="D93" s="30"/>
      <c r="E93" s="30"/>
      <c r="F93" s="30"/>
      <c r="G93" s="31"/>
      <c r="H93" s="32">
        <f t="shared" si="0"/>
        <v>0</v>
      </c>
      <c r="I93" s="33"/>
      <c r="J93" s="33"/>
    </row>
    <row r="94" spans="1:10" x14ac:dyDescent="0.2">
      <c r="A94" s="29">
        <v>45739</v>
      </c>
      <c r="B94" s="29" t="s">
        <v>14</v>
      </c>
      <c r="C94" s="30"/>
      <c r="D94" s="30"/>
      <c r="E94" s="30"/>
      <c r="F94" s="30"/>
      <c r="G94" s="31"/>
      <c r="H94" s="32">
        <f t="shared" si="0"/>
        <v>0</v>
      </c>
      <c r="I94" s="33"/>
      <c r="J94" s="33"/>
    </row>
    <row r="95" spans="1:10" ht="126" x14ac:dyDescent="0.2">
      <c r="A95" s="20">
        <v>45740</v>
      </c>
      <c r="B95" s="20" t="s">
        <v>15</v>
      </c>
      <c r="C95" s="25" t="s">
        <v>24</v>
      </c>
      <c r="D95" s="25" t="s">
        <v>25</v>
      </c>
      <c r="E95" s="25" t="s">
        <v>26</v>
      </c>
      <c r="F95" s="25" t="s">
        <v>19</v>
      </c>
      <c r="G95" s="26" t="s">
        <v>106</v>
      </c>
      <c r="H95" s="27">
        <f t="shared" si="0"/>
        <v>1.3888888888888895E-2</v>
      </c>
      <c r="I95" s="28">
        <v>0.33333333333333331</v>
      </c>
      <c r="J95" s="28">
        <v>0.34722222222222221</v>
      </c>
    </row>
    <row r="96" spans="1:10" ht="88.2" x14ac:dyDescent="0.2">
      <c r="A96" s="20">
        <v>45740</v>
      </c>
      <c r="B96" s="20" t="s">
        <v>15</v>
      </c>
      <c r="C96" s="25" t="s">
        <v>24</v>
      </c>
      <c r="D96" s="25" t="s">
        <v>25</v>
      </c>
      <c r="E96" s="25" t="s">
        <v>55</v>
      </c>
      <c r="F96" s="25" t="s">
        <v>19</v>
      </c>
      <c r="G96" s="26" t="s">
        <v>107</v>
      </c>
      <c r="H96" s="27">
        <f t="shared" si="0"/>
        <v>0.1111111111111111</v>
      </c>
      <c r="I96" s="28">
        <v>0.34722222222222221</v>
      </c>
      <c r="J96" s="28">
        <v>0.45833333333333331</v>
      </c>
    </row>
    <row r="97" spans="1:10" ht="126" x14ac:dyDescent="0.2">
      <c r="A97" s="20">
        <v>45740</v>
      </c>
      <c r="B97" s="20" t="s">
        <v>15</v>
      </c>
      <c r="C97" s="25" t="s">
        <v>24</v>
      </c>
      <c r="D97" s="25" t="s">
        <v>25</v>
      </c>
      <c r="E97" s="25" t="s">
        <v>26</v>
      </c>
      <c r="F97" s="25" t="s">
        <v>19</v>
      </c>
      <c r="G97" s="26" t="s">
        <v>108</v>
      </c>
      <c r="H97" s="27">
        <f t="shared" si="0"/>
        <v>4.8611111111111105E-2</v>
      </c>
      <c r="I97" s="28">
        <v>0.45833333333333331</v>
      </c>
      <c r="J97" s="28">
        <v>0.50694444444444442</v>
      </c>
    </row>
    <row r="98" spans="1:10" ht="100.8" x14ac:dyDescent="0.2">
      <c r="A98" s="20">
        <v>45740</v>
      </c>
      <c r="B98" s="20" t="s">
        <v>15</v>
      </c>
      <c r="C98" s="25" t="s">
        <v>24</v>
      </c>
      <c r="D98" s="25" t="s">
        <v>25</v>
      </c>
      <c r="E98" s="25" t="s">
        <v>55</v>
      </c>
      <c r="F98" s="25" t="s">
        <v>19</v>
      </c>
      <c r="G98" s="26" t="s">
        <v>109</v>
      </c>
      <c r="H98" s="27">
        <f t="shared" si="0"/>
        <v>0.11805555555555547</v>
      </c>
      <c r="I98" s="28">
        <v>0.54861111111111116</v>
      </c>
      <c r="J98" s="28">
        <v>0.66666666666666663</v>
      </c>
    </row>
    <row r="99" spans="1:10" ht="126" x14ac:dyDescent="0.2">
      <c r="A99" s="20">
        <v>45740</v>
      </c>
      <c r="B99" s="20" t="s">
        <v>15</v>
      </c>
      <c r="C99" s="25" t="s">
        <v>24</v>
      </c>
      <c r="D99" s="25" t="s">
        <v>25</v>
      </c>
      <c r="E99" s="25" t="s">
        <v>26</v>
      </c>
      <c r="F99" s="25" t="s">
        <v>19</v>
      </c>
      <c r="G99" s="26" t="s">
        <v>110</v>
      </c>
      <c r="H99" s="27">
        <f t="shared" si="0"/>
        <v>6.597222222222221E-2</v>
      </c>
      <c r="I99" s="28">
        <v>0.66666666666666663</v>
      </c>
      <c r="J99" s="28">
        <v>0.73263888888888884</v>
      </c>
    </row>
    <row r="100" spans="1:10" ht="50.4" x14ac:dyDescent="0.2">
      <c r="A100" s="20">
        <v>45741</v>
      </c>
      <c r="B100" s="20" t="s">
        <v>28</v>
      </c>
      <c r="C100" s="25" t="s">
        <v>24</v>
      </c>
      <c r="D100" s="25" t="s">
        <v>25</v>
      </c>
      <c r="E100" s="25" t="s">
        <v>26</v>
      </c>
      <c r="F100" s="25" t="s">
        <v>19</v>
      </c>
      <c r="G100" s="26" t="s">
        <v>111</v>
      </c>
      <c r="H100" s="27">
        <f t="shared" si="0"/>
        <v>1.3888888888888895E-2</v>
      </c>
      <c r="I100" s="28">
        <v>0.33333333333333331</v>
      </c>
      <c r="J100" s="28">
        <v>0.34722222222222221</v>
      </c>
    </row>
    <row r="101" spans="1:10" ht="88.2" x14ac:dyDescent="0.2">
      <c r="A101" s="20">
        <v>45741</v>
      </c>
      <c r="B101" s="20" t="s">
        <v>28</v>
      </c>
      <c r="C101" s="25" t="s">
        <v>24</v>
      </c>
      <c r="D101" s="25" t="s">
        <v>25</v>
      </c>
      <c r="E101" s="25" t="s">
        <v>55</v>
      </c>
      <c r="F101" s="25" t="s">
        <v>19</v>
      </c>
      <c r="G101" s="26" t="s">
        <v>112</v>
      </c>
      <c r="H101" s="27">
        <f t="shared" si="0"/>
        <v>0.1111111111111111</v>
      </c>
      <c r="I101" s="28">
        <v>0.34722222222222221</v>
      </c>
      <c r="J101" s="28">
        <v>0.45833333333333331</v>
      </c>
    </row>
    <row r="102" spans="1:10" ht="75.599999999999994" x14ac:dyDescent="0.2">
      <c r="A102" s="20">
        <v>45741</v>
      </c>
      <c r="B102" s="20" t="s">
        <v>28</v>
      </c>
      <c r="C102" s="25" t="s">
        <v>24</v>
      </c>
      <c r="D102" s="25" t="s">
        <v>25</v>
      </c>
      <c r="E102" s="25" t="s">
        <v>26</v>
      </c>
      <c r="F102" s="25" t="s">
        <v>19</v>
      </c>
      <c r="G102" s="26" t="s">
        <v>113</v>
      </c>
      <c r="H102" s="27">
        <f t="shared" si="0"/>
        <v>4.1666666666666685E-2</v>
      </c>
      <c r="I102" s="28">
        <v>0.45833333333333331</v>
      </c>
      <c r="J102" s="28">
        <v>0.5</v>
      </c>
    </row>
    <row r="103" spans="1:10" ht="63" x14ac:dyDescent="0.2">
      <c r="A103" s="20">
        <v>45741</v>
      </c>
      <c r="B103" s="20" t="s">
        <v>28</v>
      </c>
      <c r="C103" s="25" t="s">
        <v>24</v>
      </c>
      <c r="D103" s="25" t="s">
        <v>25</v>
      </c>
      <c r="E103" s="25" t="s">
        <v>55</v>
      </c>
      <c r="F103" s="25" t="s">
        <v>19</v>
      </c>
      <c r="G103" s="26" t="s">
        <v>114</v>
      </c>
      <c r="H103" s="27">
        <f t="shared" si="0"/>
        <v>0.125</v>
      </c>
      <c r="I103" s="28">
        <v>0.54166666666666663</v>
      </c>
      <c r="J103" s="28">
        <v>0.66666666666666663</v>
      </c>
    </row>
    <row r="104" spans="1:10" ht="138.6" x14ac:dyDescent="0.2">
      <c r="A104" s="20">
        <v>45741</v>
      </c>
      <c r="B104" s="20" t="s">
        <v>28</v>
      </c>
      <c r="C104" s="25" t="s">
        <v>24</v>
      </c>
      <c r="D104" s="25" t="s">
        <v>25</v>
      </c>
      <c r="E104" s="25" t="s">
        <v>26</v>
      </c>
      <c r="F104" s="25" t="s">
        <v>19</v>
      </c>
      <c r="G104" s="26" t="s">
        <v>115</v>
      </c>
      <c r="H104" s="27">
        <f t="shared" si="0"/>
        <v>5.902777777777779E-2</v>
      </c>
      <c r="I104" s="28">
        <v>0.66666666666666663</v>
      </c>
      <c r="J104" s="28">
        <v>0.72569444444444442</v>
      </c>
    </row>
    <row r="105" spans="1:10" ht="50.4" x14ac:dyDescent="0.2">
      <c r="A105" s="20">
        <v>45742</v>
      </c>
      <c r="B105" s="20" t="s">
        <v>34</v>
      </c>
      <c r="C105" s="25" t="s">
        <v>24</v>
      </c>
      <c r="D105" s="25" t="s">
        <v>25</v>
      </c>
      <c r="E105" s="25" t="s">
        <v>26</v>
      </c>
      <c r="F105" s="25" t="s">
        <v>19</v>
      </c>
      <c r="G105" s="26" t="s">
        <v>116</v>
      </c>
      <c r="H105" s="27">
        <f t="shared" si="0"/>
        <v>1.0416666666666685E-2</v>
      </c>
      <c r="I105" s="28">
        <v>0.33333333333333331</v>
      </c>
      <c r="J105" s="28">
        <v>0.34375</v>
      </c>
    </row>
    <row r="106" spans="1:10" ht="63" x14ac:dyDescent="0.2">
      <c r="A106" s="20">
        <v>45742</v>
      </c>
      <c r="B106" s="20" t="s">
        <v>34</v>
      </c>
      <c r="C106" s="25" t="s">
        <v>24</v>
      </c>
      <c r="D106" s="25" t="s">
        <v>25</v>
      </c>
      <c r="E106" s="25" t="s">
        <v>55</v>
      </c>
      <c r="F106" s="25" t="s">
        <v>19</v>
      </c>
      <c r="G106" s="26" t="s">
        <v>117</v>
      </c>
      <c r="H106" s="27">
        <f t="shared" si="0"/>
        <v>0.11458333333333331</v>
      </c>
      <c r="I106" s="28">
        <v>0.34375</v>
      </c>
      <c r="J106" s="28">
        <v>0.45833333333333331</v>
      </c>
    </row>
    <row r="107" spans="1:10" ht="75.599999999999994" x14ac:dyDescent="0.2">
      <c r="A107" s="20">
        <v>45742</v>
      </c>
      <c r="B107" s="20" t="s">
        <v>34</v>
      </c>
      <c r="C107" s="25" t="s">
        <v>24</v>
      </c>
      <c r="D107" s="25" t="s">
        <v>25</v>
      </c>
      <c r="E107" s="25" t="s">
        <v>26</v>
      </c>
      <c r="F107" s="25" t="s">
        <v>19</v>
      </c>
      <c r="G107" s="26" t="s">
        <v>118</v>
      </c>
      <c r="H107" s="27">
        <f t="shared" si="0"/>
        <v>4.5138888888888895E-2</v>
      </c>
      <c r="I107" s="28">
        <v>0.45833333333333331</v>
      </c>
      <c r="J107" s="28">
        <v>0.50347222222222221</v>
      </c>
    </row>
    <row r="108" spans="1:10" ht="63" x14ac:dyDescent="0.2">
      <c r="A108" s="20">
        <v>45742</v>
      </c>
      <c r="B108" s="20" t="s">
        <v>34</v>
      </c>
      <c r="C108" s="25" t="s">
        <v>24</v>
      </c>
      <c r="D108" s="25" t="s">
        <v>25</v>
      </c>
      <c r="E108" s="25" t="s">
        <v>55</v>
      </c>
      <c r="F108" s="25" t="s">
        <v>19</v>
      </c>
      <c r="G108" s="26" t="s">
        <v>119</v>
      </c>
      <c r="H108" s="27">
        <f t="shared" si="0"/>
        <v>0.12152777777777779</v>
      </c>
      <c r="I108" s="28">
        <v>0.54513888888888884</v>
      </c>
      <c r="J108" s="28">
        <v>0.66666666666666663</v>
      </c>
    </row>
    <row r="109" spans="1:10" ht="100.8" x14ac:dyDescent="0.2">
      <c r="A109" s="20">
        <v>45742</v>
      </c>
      <c r="B109" s="20" t="s">
        <v>34</v>
      </c>
      <c r="C109" s="25" t="s">
        <v>24</v>
      </c>
      <c r="D109" s="25" t="s">
        <v>25</v>
      </c>
      <c r="E109" s="25" t="s">
        <v>26</v>
      </c>
      <c r="F109" s="25" t="s">
        <v>19</v>
      </c>
      <c r="G109" s="26" t="s">
        <v>120</v>
      </c>
      <c r="H109" s="27">
        <f t="shared" si="0"/>
        <v>7.986111111111116E-2</v>
      </c>
      <c r="I109" s="28">
        <v>0.66666666666666663</v>
      </c>
      <c r="J109" s="28">
        <v>0.74652777777777779</v>
      </c>
    </row>
    <row r="110" spans="1:10" ht="63" x14ac:dyDescent="0.2">
      <c r="A110" s="20">
        <v>45743</v>
      </c>
      <c r="B110" s="20" t="s">
        <v>38</v>
      </c>
      <c r="C110" s="25" t="s">
        <v>24</v>
      </c>
      <c r="D110" s="25" t="s">
        <v>25</v>
      </c>
      <c r="E110" s="25" t="s">
        <v>26</v>
      </c>
      <c r="F110" s="25" t="s">
        <v>19</v>
      </c>
      <c r="G110" s="26" t="s">
        <v>121</v>
      </c>
      <c r="H110" s="27">
        <f t="shared" si="0"/>
        <v>1.3888888888888895E-2</v>
      </c>
      <c r="I110" s="28">
        <v>0.33333333333333331</v>
      </c>
      <c r="J110" s="28">
        <v>0.34722222222222221</v>
      </c>
    </row>
    <row r="111" spans="1:10" ht="75.599999999999994" x14ac:dyDescent="0.2">
      <c r="A111" s="20">
        <v>45743</v>
      </c>
      <c r="B111" s="20" t="s">
        <v>38</v>
      </c>
      <c r="C111" s="25" t="s">
        <v>24</v>
      </c>
      <c r="D111" s="25" t="s">
        <v>25</v>
      </c>
      <c r="E111" s="25" t="s">
        <v>55</v>
      </c>
      <c r="F111" s="25" t="s">
        <v>19</v>
      </c>
      <c r="G111" s="26" t="s">
        <v>122</v>
      </c>
      <c r="H111" s="27">
        <f t="shared" si="0"/>
        <v>0.1111111111111111</v>
      </c>
      <c r="I111" s="28">
        <v>0.34722222222222221</v>
      </c>
      <c r="J111" s="28">
        <v>0.45833333333333331</v>
      </c>
    </row>
    <row r="112" spans="1:10" ht="126" x14ac:dyDescent="0.2">
      <c r="A112" s="20">
        <v>45743</v>
      </c>
      <c r="B112" s="20" t="s">
        <v>38</v>
      </c>
      <c r="C112" s="25" t="s">
        <v>24</v>
      </c>
      <c r="D112" s="25" t="s">
        <v>25</v>
      </c>
      <c r="E112" s="25" t="s">
        <v>26</v>
      </c>
      <c r="F112" s="25" t="s">
        <v>19</v>
      </c>
      <c r="G112" s="26" t="s">
        <v>123</v>
      </c>
      <c r="H112" s="27">
        <f t="shared" si="0"/>
        <v>5.9027777777777846E-2</v>
      </c>
      <c r="I112" s="28">
        <v>0.45833333333333331</v>
      </c>
      <c r="J112" s="28">
        <v>0.51736111111111116</v>
      </c>
    </row>
    <row r="113" spans="1:10" ht="50.4" x14ac:dyDescent="0.2">
      <c r="A113" s="20">
        <v>45743</v>
      </c>
      <c r="B113" s="20" t="s">
        <v>38</v>
      </c>
      <c r="C113" s="25" t="s">
        <v>24</v>
      </c>
      <c r="D113" s="25" t="s">
        <v>25</v>
      </c>
      <c r="E113" s="25" t="s">
        <v>55</v>
      </c>
      <c r="F113" s="25" t="s">
        <v>19</v>
      </c>
      <c r="G113" s="26" t="s">
        <v>124</v>
      </c>
      <c r="H113" s="27">
        <f t="shared" si="0"/>
        <v>2.430555555555558E-2</v>
      </c>
      <c r="I113" s="28">
        <v>0.55902777777777779</v>
      </c>
      <c r="J113" s="28">
        <v>0.58333333333333337</v>
      </c>
    </row>
    <row r="114" spans="1:10" ht="63" x14ac:dyDescent="0.2">
      <c r="A114" s="20">
        <v>45743</v>
      </c>
      <c r="B114" s="20" t="s">
        <v>38</v>
      </c>
      <c r="C114" s="25" t="s">
        <v>24</v>
      </c>
      <c r="D114" s="25" t="s">
        <v>25</v>
      </c>
      <c r="E114" s="25" t="s">
        <v>26</v>
      </c>
      <c r="F114" s="25" t="s">
        <v>19</v>
      </c>
      <c r="G114" s="26" t="s">
        <v>125</v>
      </c>
      <c r="H114" s="27">
        <f t="shared" si="0"/>
        <v>2.0833333333333259E-2</v>
      </c>
      <c r="I114" s="28">
        <v>0.58333333333333337</v>
      </c>
      <c r="J114" s="28">
        <v>0.60416666666666663</v>
      </c>
    </row>
    <row r="115" spans="1:10" ht="75.599999999999994" x14ac:dyDescent="0.2">
      <c r="A115" s="20">
        <v>45743</v>
      </c>
      <c r="B115" s="20" t="s">
        <v>38</v>
      </c>
      <c r="C115" s="25" t="s">
        <v>24</v>
      </c>
      <c r="D115" s="25" t="s">
        <v>25</v>
      </c>
      <c r="E115" s="25" t="s">
        <v>26</v>
      </c>
      <c r="F115" s="25" t="s">
        <v>19</v>
      </c>
      <c r="G115" s="26" t="s">
        <v>126</v>
      </c>
      <c r="H115" s="27">
        <f t="shared" si="0"/>
        <v>6.25E-2</v>
      </c>
      <c r="I115" s="28">
        <v>0.60416666666666663</v>
      </c>
      <c r="J115" s="28">
        <v>0.66666666666666663</v>
      </c>
    </row>
    <row r="116" spans="1:10" ht="163.80000000000001" x14ac:dyDescent="0.2">
      <c r="A116" s="20"/>
      <c r="B116" s="20" t="s">
        <v>38</v>
      </c>
      <c r="C116" s="25"/>
      <c r="D116" s="25"/>
      <c r="E116" s="25"/>
      <c r="F116" s="25"/>
      <c r="G116" s="26" t="s">
        <v>127</v>
      </c>
      <c r="H116" s="27">
        <f t="shared" si="0"/>
        <v>7.2916666666666741E-2</v>
      </c>
      <c r="I116" s="28">
        <v>0.66666666666666663</v>
      </c>
      <c r="J116" s="28">
        <v>0.73958333333333337</v>
      </c>
    </row>
    <row r="117" spans="1:10" ht="50.4" x14ac:dyDescent="0.2">
      <c r="A117" s="20">
        <v>45744</v>
      </c>
      <c r="B117" s="20" t="s">
        <v>46</v>
      </c>
      <c r="C117" s="25" t="s">
        <v>24</v>
      </c>
      <c r="D117" s="25" t="s">
        <v>25</v>
      </c>
      <c r="E117" s="25" t="s">
        <v>26</v>
      </c>
      <c r="F117" s="25" t="s">
        <v>19</v>
      </c>
      <c r="G117" s="26" t="s">
        <v>128</v>
      </c>
      <c r="H117" s="27">
        <f t="shared" si="0"/>
        <v>1.0416666666666685E-2</v>
      </c>
      <c r="I117" s="28">
        <v>0.33333333333333331</v>
      </c>
      <c r="J117" s="28">
        <v>0.34375</v>
      </c>
    </row>
    <row r="118" spans="1:10" ht="50.4" x14ac:dyDescent="0.2">
      <c r="A118" s="20">
        <v>45744</v>
      </c>
      <c r="B118" s="20" t="s">
        <v>46</v>
      </c>
      <c r="C118" s="25" t="s">
        <v>24</v>
      </c>
      <c r="D118" s="25" t="s">
        <v>25</v>
      </c>
      <c r="E118" s="25" t="s">
        <v>55</v>
      </c>
      <c r="F118" s="25" t="s">
        <v>19</v>
      </c>
      <c r="G118" s="26" t="s">
        <v>129</v>
      </c>
      <c r="H118" s="27">
        <f t="shared" si="0"/>
        <v>0.11458333333333331</v>
      </c>
      <c r="I118" s="28">
        <v>0.34375</v>
      </c>
      <c r="J118" s="28">
        <v>0.45833333333333331</v>
      </c>
    </row>
    <row r="119" spans="1:10" ht="126" x14ac:dyDescent="0.2">
      <c r="A119" s="20">
        <v>45744</v>
      </c>
      <c r="B119" s="20" t="s">
        <v>46</v>
      </c>
      <c r="C119" s="25" t="s">
        <v>24</v>
      </c>
      <c r="D119" s="25" t="s">
        <v>25</v>
      </c>
      <c r="E119" s="25" t="s">
        <v>26</v>
      </c>
      <c r="F119" s="25" t="s">
        <v>19</v>
      </c>
      <c r="G119" s="26" t="s">
        <v>130</v>
      </c>
      <c r="H119" s="27">
        <f t="shared" si="0"/>
        <v>4.5833333333333337E-2</v>
      </c>
      <c r="I119" s="28">
        <v>0.45833333333333331</v>
      </c>
      <c r="J119" s="28">
        <v>0.50416666666666665</v>
      </c>
    </row>
    <row r="120" spans="1:10" ht="75.599999999999994" x14ac:dyDescent="0.2">
      <c r="A120" s="20">
        <v>45745</v>
      </c>
      <c r="B120" s="20" t="s">
        <v>46</v>
      </c>
      <c r="C120" s="25" t="s">
        <v>24</v>
      </c>
      <c r="D120" s="25" t="s">
        <v>25</v>
      </c>
      <c r="E120" s="25" t="s">
        <v>55</v>
      </c>
      <c r="F120" s="25" t="s">
        <v>19</v>
      </c>
      <c r="G120" s="26" t="s">
        <v>131</v>
      </c>
      <c r="H120" s="27">
        <f t="shared" si="0"/>
        <v>0.12152777777777779</v>
      </c>
      <c r="I120" s="28">
        <v>0.54513888888888884</v>
      </c>
      <c r="J120" s="28">
        <v>0.66666666666666663</v>
      </c>
    </row>
    <row r="121" spans="1:10" ht="100.8" x14ac:dyDescent="0.2">
      <c r="A121" s="20">
        <v>45746</v>
      </c>
      <c r="B121" s="20" t="s">
        <v>46</v>
      </c>
      <c r="C121" s="25" t="s">
        <v>24</v>
      </c>
      <c r="D121" s="25" t="s">
        <v>25</v>
      </c>
      <c r="E121" s="25" t="s">
        <v>26</v>
      </c>
      <c r="F121" s="25" t="s">
        <v>19</v>
      </c>
      <c r="G121" s="26" t="s">
        <v>132</v>
      </c>
      <c r="H121" s="27">
        <f t="shared" si="0"/>
        <v>6.597222222222221E-2</v>
      </c>
      <c r="I121" s="28">
        <v>0.66666666666666663</v>
      </c>
      <c r="J121" s="28">
        <v>0.73263888888888884</v>
      </c>
    </row>
    <row r="122" spans="1:10" x14ac:dyDescent="0.2">
      <c r="A122" s="29">
        <v>45745</v>
      </c>
      <c r="B122" s="29" t="s">
        <v>13</v>
      </c>
      <c r="C122" s="30"/>
      <c r="D122" s="30"/>
      <c r="E122" s="30"/>
      <c r="F122" s="30"/>
      <c r="G122" s="31"/>
      <c r="H122" s="32"/>
      <c r="I122" s="33"/>
      <c r="J122" s="33"/>
    </row>
    <row r="123" spans="1:10" x14ac:dyDescent="0.2">
      <c r="A123" s="29">
        <v>45746</v>
      </c>
      <c r="B123" s="29" t="s">
        <v>14</v>
      </c>
      <c r="C123" s="30"/>
      <c r="D123" s="30"/>
      <c r="E123" s="30"/>
      <c r="F123" s="30"/>
      <c r="G123" s="31"/>
      <c r="H123" s="32"/>
      <c r="I123" s="33"/>
      <c r="J123" s="33"/>
    </row>
    <row r="124" spans="1:10" ht="100.8" x14ac:dyDescent="0.2">
      <c r="A124" s="108">
        <v>45747</v>
      </c>
      <c r="B124" s="108" t="s">
        <v>15</v>
      </c>
      <c r="C124" s="109" t="s">
        <v>24</v>
      </c>
      <c r="D124" s="109" t="s">
        <v>25</v>
      </c>
      <c r="E124" s="109" t="s">
        <v>26</v>
      </c>
      <c r="F124" s="109" t="s">
        <v>19</v>
      </c>
      <c r="G124" s="110" t="s">
        <v>133</v>
      </c>
      <c r="H124" s="27">
        <f t="shared" ref="H124:H128" si="1">J124-I124</f>
        <v>1.3888888888888895E-2</v>
      </c>
      <c r="I124" s="111">
        <v>0.33333333333333331</v>
      </c>
      <c r="J124" s="111">
        <v>0.34722222222222221</v>
      </c>
    </row>
    <row r="125" spans="1:10" ht="63" x14ac:dyDescent="0.2">
      <c r="A125" s="108">
        <v>45747</v>
      </c>
      <c r="B125" s="108" t="s">
        <v>15</v>
      </c>
      <c r="C125" s="109" t="s">
        <v>24</v>
      </c>
      <c r="D125" s="109" t="s">
        <v>25</v>
      </c>
      <c r="E125" s="109" t="s">
        <v>55</v>
      </c>
      <c r="F125" s="109" t="s">
        <v>19</v>
      </c>
      <c r="G125" s="110" t="s">
        <v>134</v>
      </c>
      <c r="H125" s="27">
        <f t="shared" si="1"/>
        <v>0.1111111111111111</v>
      </c>
      <c r="I125" s="111">
        <v>0.34722222222222221</v>
      </c>
      <c r="J125" s="111">
        <v>0.45833333333333331</v>
      </c>
    </row>
    <row r="126" spans="1:10" ht="113.4" x14ac:dyDescent="0.2">
      <c r="A126" s="108">
        <v>45747</v>
      </c>
      <c r="B126" s="108" t="s">
        <v>15</v>
      </c>
      <c r="C126" s="109" t="s">
        <v>24</v>
      </c>
      <c r="D126" s="109" t="s">
        <v>25</v>
      </c>
      <c r="E126" s="109" t="s">
        <v>26</v>
      </c>
      <c r="F126" s="109" t="s">
        <v>19</v>
      </c>
      <c r="G126" s="110" t="s">
        <v>135</v>
      </c>
      <c r="H126" s="27">
        <f t="shared" si="1"/>
        <v>4.1666666666666685E-2</v>
      </c>
      <c r="I126" s="111">
        <v>0.45833333333333331</v>
      </c>
      <c r="J126" s="111">
        <v>0.5</v>
      </c>
    </row>
    <row r="127" spans="1:10" ht="63" x14ac:dyDescent="0.2">
      <c r="A127" s="108">
        <v>45747</v>
      </c>
      <c r="B127" s="108" t="s">
        <v>15</v>
      </c>
      <c r="C127" s="109" t="s">
        <v>24</v>
      </c>
      <c r="D127" s="109" t="s">
        <v>25</v>
      </c>
      <c r="E127" s="109" t="s">
        <v>55</v>
      </c>
      <c r="F127" s="109" t="s">
        <v>19</v>
      </c>
      <c r="G127" s="110" t="s">
        <v>136</v>
      </c>
      <c r="H127" s="27">
        <f t="shared" si="1"/>
        <v>0.125</v>
      </c>
      <c r="I127" s="111">
        <v>0.54166666666666663</v>
      </c>
      <c r="J127" s="111">
        <v>0.66666666666666663</v>
      </c>
    </row>
    <row r="128" spans="1:10" ht="13.95" customHeight="1" x14ac:dyDescent="0.2">
      <c r="A128" s="20">
        <v>45747</v>
      </c>
      <c r="B128" s="20" t="s">
        <v>15</v>
      </c>
      <c r="C128" s="25" t="s">
        <v>24</v>
      </c>
      <c r="D128" s="25" t="s">
        <v>25</v>
      </c>
      <c r="E128" s="25" t="s">
        <v>26</v>
      </c>
      <c r="F128" s="25" t="s">
        <v>19</v>
      </c>
      <c r="G128" s="26" t="s">
        <v>137</v>
      </c>
      <c r="H128" s="27">
        <f t="shared" si="1"/>
        <v>6.25E-2</v>
      </c>
      <c r="I128" s="28">
        <v>0.66666666666666663</v>
      </c>
      <c r="J128" s="28">
        <v>0.72916666666666663</v>
      </c>
    </row>
    <row r="129" spans="1:9" ht="13.95" customHeight="1" thickBot="1" x14ac:dyDescent="0.3">
      <c r="A129" s="44"/>
      <c r="B129" s="44"/>
      <c r="C129" s="43"/>
      <c r="D129" s="43"/>
      <c r="E129" s="43"/>
      <c r="F129" s="43"/>
      <c r="G129" s="43"/>
      <c r="H129" s="34"/>
      <c r="I129" s="35"/>
    </row>
    <row r="130" spans="1:9" ht="13.95" customHeight="1" x14ac:dyDescent="0.25">
      <c r="A130" s="2"/>
      <c r="B130" s="2"/>
      <c r="C130" s="3"/>
      <c r="D130" s="4"/>
      <c r="E130" s="5" t="s">
        <v>138</v>
      </c>
      <c r="F130" s="6">
        <f>F131*8</f>
        <v>160</v>
      </c>
      <c r="H130" s="38"/>
    </row>
    <row r="131" spans="1:9" ht="13.95" customHeight="1" thickBot="1" x14ac:dyDescent="0.3">
      <c r="A131" s="2"/>
      <c r="B131" s="2"/>
      <c r="C131" s="7"/>
      <c r="D131" s="1"/>
      <c r="E131" s="8" t="s">
        <v>139</v>
      </c>
      <c r="F131" s="9">
        <v>20</v>
      </c>
      <c r="H131" s="38"/>
    </row>
    <row r="132" spans="1:9" ht="13.95" customHeight="1" thickBot="1" x14ac:dyDescent="0.3">
      <c r="A132" s="112" t="s">
        <v>140</v>
      </c>
      <c r="B132" s="112"/>
      <c r="C132" s="112"/>
      <c r="D132" s="10"/>
      <c r="E132" s="1"/>
      <c r="F132" s="1"/>
      <c r="H132" s="38"/>
    </row>
    <row r="133" spans="1:9" ht="13.8" x14ac:dyDescent="0.25">
      <c r="A133" s="11"/>
      <c r="B133" s="11"/>
      <c r="C133" s="4"/>
      <c r="D133" s="4"/>
      <c r="E133" s="12" t="s">
        <v>141</v>
      </c>
      <c r="F133" s="13">
        <f>SUMIF(F9:F128,"Billable",H9:H128)</f>
        <v>0</v>
      </c>
      <c r="H133" s="36"/>
    </row>
    <row r="134" spans="1:9" ht="15" customHeight="1" thickBot="1" x14ac:dyDescent="0.3">
      <c r="A134" s="113" t="s">
        <v>142</v>
      </c>
      <c r="B134" s="113"/>
      <c r="C134" s="113"/>
      <c r="D134" s="14"/>
      <c r="E134" s="15" t="s">
        <v>143</v>
      </c>
      <c r="F134" s="16">
        <f>SUMIF(F9:F128,"Non-Billable",H9:H128)</f>
        <v>7.0104166666666661</v>
      </c>
      <c r="H134" s="38"/>
    </row>
    <row r="135" spans="1:9" ht="14.4" thickBot="1" x14ac:dyDescent="0.3">
      <c r="A135" s="1"/>
      <c r="B135" s="1"/>
      <c r="C135" s="1"/>
      <c r="D135" s="1"/>
      <c r="E135" s="17" t="s">
        <v>144</v>
      </c>
      <c r="F135" s="42">
        <f>F133+F134</f>
        <v>7.0104166666666661</v>
      </c>
      <c r="H135" s="38"/>
    </row>
    <row r="136" spans="1:9" ht="13.8" thickBot="1" x14ac:dyDescent="0.3">
      <c r="A136" s="1"/>
      <c r="B136" s="1"/>
      <c r="C136" s="1"/>
      <c r="D136" s="1"/>
      <c r="E136" s="1"/>
      <c r="F136" s="1"/>
      <c r="H136" s="38"/>
    </row>
    <row r="137" spans="1:9" ht="13.8" thickBot="1" x14ac:dyDescent="0.3">
      <c r="A137" s="1"/>
      <c r="B137" s="1"/>
      <c r="C137" s="1"/>
      <c r="D137" s="1"/>
      <c r="E137" s="18" t="s">
        <v>145</v>
      </c>
      <c r="F137" s="19"/>
      <c r="H137" s="38"/>
    </row>
    <row r="138" spans="1:9" ht="13.2" thickBot="1" x14ac:dyDescent="0.25">
      <c r="E138" s="37"/>
      <c r="H138" s="38"/>
    </row>
  </sheetData>
  <mergeCells count="2">
    <mergeCell ref="A132:C132"/>
    <mergeCell ref="A134:C134"/>
  </mergeCells>
  <phoneticPr fontId="10" type="noConversion"/>
  <conditionalFormatting sqref="A6:B6 D6:E7 D129:E130">
    <cfRule type="containsText" dxfId="15" priority="14" operator="containsText" text="Religious Leave">
      <formula>NOT(ISERROR(SEARCH("Religious Leave",A6)))</formula>
    </cfRule>
    <cfRule type="containsText" dxfId="14" priority="15" operator="containsText" text="Birthday Leave">
      <formula>NOT(ISERROR(SEARCH("Birthday Leave",A6)))</formula>
    </cfRule>
    <cfRule type="containsText" dxfId="13" priority="16" operator="containsText" text="Study Leave">
      <formula>NOT(ISERROR(SEARCH("Study Leave",A6)))</formula>
    </cfRule>
    <cfRule type="containsText" dxfId="12" priority="17" operator="containsText" text="Family Responsibility Leave">
      <formula>NOT(ISERROR(SEARCH("Family Responsibility Leave",A6)))</formula>
    </cfRule>
    <cfRule type="containsText" dxfId="11" priority="18" operator="containsText" text="Sick Leave">
      <formula>NOT(ISERROR(SEARCH("Sick Leave",A6)))</formula>
    </cfRule>
    <cfRule type="containsText" dxfId="10" priority="19" operator="containsText" text="Annual Leave">
      <formula>NOT(ISERROR(SEARCH("Annual Leave",A6)))</formula>
    </cfRule>
    <cfRule type="cellIs" dxfId="9" priority="20" operator="equal">
      <formula>"Public Holiday"</formula>
    </cfRule>
  </conditionalFormatting>
  <conditionalFormatting sqref="B7:B38 B46:B138">
    <cfRule type="containsText" dxfId="8" priority="8" operator="containsText" text="Saturday">
      <formula>NOT(ISERROR(SEARCH("Saturday",B7)))</formula>
    </cfRule>
    <cfRule type="containsText" dxfId="7" priority="9" operator="containsText" text="Sunday">
      <formula>NOT(ISERROR(SEARCH("Sunday",B7)))</formula>
    </cfRule>
  </conditionalFormatting>
  <conditionalFormatting sqref="D132:E134 E137">
    <cfRule type="containsText" dxfId="6" priority="1" operator="containsText" text="Religious Leave">
      <formula>NOT(ISERROR(SEARCH("Religious Leave",D132)))</formula>
    </cfRule>
    <cfRule type="containsText" dxfId="5" priority="2" operator="containsText" text="Birthday Leave">
      <formula>NOT(ISERROR(SEARCH("Birthday Leave",D132)))</formula>
    </cfRule>
    <cfRule type="containsText" dxfId="4" priority="3" operator="containsText" text="Study Leave">
      <formula>NOT(ISERROR(SEARCH("Study Leave",D132)))</formula>
    </cfRule>
    <cfRule type="containsText" dxfId="3" priority="4" operator="containsText" text="Family Responsibility Leave">
      <formula>NOT(ISERROR(SEARCH("Family Responsibility Leave",D132)))</formula>
    </cfRule>
    <cfRule type="containsText" dxfId="2" priority="5" operator="containsText" text="Sick Leave">
      <formula>NOT(ISERROR(SEARCH("Sick Leave",D132)))</formula>
    </cfRule>
    <cfRule type="containsText" dxfId="1" priority="6" operator="containsText" text="Annual Leave">
      <formula>NOT(ISERROR(SEARCH("Annual Leave",D132)))</formula>
    </cfRule>
    <cfRule type="cellIs" dxfId="0" priority="7" operator="equal">
      <formula>"Public Holiday"</formula>
    </cfRule>
  </conditionalFormatting>
  <dataValidations count="1">
    <dataValidation type="time" allowBlank="1" showErrorMessage="1" errorTitle="Invalid Time Format" error="Please input a valid time. For e.g. 08:00" sqref="I9:J128" xr:uid="{1C94E27B-8E5C-4C1F-AD20-3494675EE945}">
      <formula1>0</formula1>
      <formula2>0.999988425925926</formula2>
    </dataValidation>
  </dataValidations>
  <pageMargins left="0.7" right="0.7" top="0.75" bottom="0.75" header="0.3" footer="0.3"/>
  <pageSetup paperSize="9" scale="75" orientation="portrait" horizontalDpi="4294967293" verticalDpi="0" r:id="rId1"/>
  <headerFooter>
    <oddFooter>&amp;L_x000D_&amp;1#&amp;"Calibri"&amp;8&amp;K000000 Classified as Confidential</oddFooter>
  </headerFooter>
  <drawing r:id="rId2"/>
  <extLst>
    <ext xmlns:x14="http://schemas.microsoft.com/office/spreadsheetml/2009/9/main" uri="{CCE6A557-97BC-4b89-ADB6-D9C93CAAB3DF}">
      <x14:dataValidations xmlns:xm="http://schemas.microsoft.com/office/excel/2006/main" count="4">
        <x14:dataValidation type="list" allowBlank="1" showInputMessage="1" showErrorMessage="1" xr:uid="{5693F761-715B-45CE-AC76-906C43DF08FA}">
          <x14:formula1>
            <xm:f>Key!$H$3:$H$62</xm:f>
          </x14:formula1>
          <xm:sqref>B5</xm:sqref>
        </x14:dataValidation>
        <x14:dataValidation type="list" allowBlank="1" showInputMessage="1" showErrorMessage="1" xr:uid="{C39A6A8E-1249-4B2F-AB25-70B85A400C15}">
          <x14:formula1>
            <xm:f>Key!$K$3:$K$4</xm:f>
          </x14:formula1>
          <xm:sqref>F9:F34 F37:F128</xm:sqref>
        </x14:dataValidation>
        <x14:dataValidation type="list" allowBlank="1" showInputMessage="1" showErrorMessage="1" xr:uid="{B11ED7AE-D90D-41B0-B483-088E73216738}">
          <x14:formula1>
            <xm:f>Key!$F$3:$F$52</xm:f>
          </x14:formula1>
          <xm:sqref>F35:F36 E9:E128</xm:sqref>
        </x14:dataValidation>
        <x14:dataValidation type="list" allowBlank="1" showInputMessage="1" showErrorMessage="1" xr:uid="{21903AE5-45BA-428F-AFA8-22E9A01182F3}">
          <x14:formula1>
            <xm:f>Key!$B$2:$B$51</xm:f>
          </x14:formula1>
          <xm:sqref>C9:C128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8E8809-782A-4EC8-A7EE-23E6EB29126F}">
  <dimension ref="A1:O18"/>
  <sheetViews>
    <sheetView zoomScale="75" zoomScaleNormal="75" workbookViewId="0">
      <selection activeCell="H13" sqref="H13"/>
    </sheetView>
  </sheetViews>
  <sheetFormatPr defaultColWidth="8.69921875" defaultRowHeight="12.6" x14ac:dyDescent="0.2"/>
  <cols>
    <col min="1" max="1" width="12" style="21" customWidth="1"/>
    <col min="2" max="2" width="13.09765625" style="21" customWidth="1"/>
    <col min="3" max="3" width="16.19921875" style="21" bestFit="1" customWidth="1"/>
    <col min="4" max="4" width="8.69921875" style="21"/>
    <col min="5" max="5" width="13.19921875" style="21" customWidth="1"/>
    <col min="6" max="6" width="14.5" style="21" customWidth="1"/>
    <col min="7" max="16384" width="8.69921875" style="21"/>
  </cols>
  <sheetData>
    <row r="1" spans="1:15" ht="13.5" customHeight="1" x14ac:dyDescent="0.2">
      <c r="A1" s="90"/>
      <c r="B1" s="90"/>
      <c r="C1" s="90"/>
      <c r="D1" s="90"/>
      <c r="E1" s="90"/>
      <c r="F1" s="90"/>
    </row>
    <row r="2" spans="1:15" x14ac:dyDescent="0.2">
      <c r="A2" s="89"/>
      <c r="B2" s="89"/>
      <c r="C2" s="94"/>
      <c r="D2" s="94"/>
      <c r="E2" s="94"/>
      <c r="F2" s="94"/>
    </row>
    <row r="3" spans="1:15" x14ac:dyDescent="0.2">
      <c r="A3" s="89"/>
      <c r="B3" s="89"/>
      <c r="C3" s="95"/>
      <c r="D3" s="95"/>
      <c r="E3" s="95"/>
      <c r="F3" s="95"/>
    </row>
    <row r="4" spans="1:15" x14ac:dyDescent="0.2">
      <c r="A4" s="89"/>
      <c r="B4" s="89"/>
      <c r="C4" s="96"/>
      <c r="D4" s="96"/>
      <c r="E4" s="96"/>
      <c r="F4" s="96"/>
    </row>
    <row r="5" spans="1:15" x14ac:dyDescent="0.2">
      <c r="A5" s="35" t="s">
        <v>0</v>
      </c>
      <c r="B5" s="21" t="s">
        <v>146</v>
      </c>
      <c r="C5" s="96"/>
      <c r="D5" s="96"/>
      <c r="E5" s="96"/>
      <c r="F5" s="96"/>
    </row>
    <row r="6" spans="1:15" x14ac:dyDescent="0.2">
      <c r="A6" s="89" t="s">
        <v>147</v>
      </c>
      <c r="B6" s="91">
        <f>F17</f>
        <v>200</v>
      </c>
      <c r="C6" s="94"/>
      <c r="D6" s="95"/>
      <c r="E6" s="95"/>
      <c r="F6" s="95"/>
    </row>
    <row r="7" spans="1:15" ht="13.5" customHeight="1" x14ac:dyDescent="0.2">
      <c r="A7" s="83"/>
      <c r="B7" s="84"/>
      <c r="C7" s="84"/>
      <c r="D7" s="95"/>
      <c r="E7" s="95"/>
      <c r="F7" s="95"/>
    </row>
    <row r="8" spans="1:15" ht="27.45" customHeight="1" x14ac:dyDescent="0.2">
      <c r="A8" s="122" t="s">
        <v>148</v>
      </c>
      <c r="B8" s="122"/>
      <c r="C8" s="122"/>
      <c r="D8" s="122"/>
      <c r="E8" s="122"/>
      <c r="F8" s="122"/>
    </row>
    <row r="9" spans="1:15" ht="13.5" customHeight="1" thickBot="1" x14ac:dyDescent="0.25">
      <c r="A9" s="92" t="s">
        <v>149</v>
      </c>
      <c r="B9" s="125" t="s">
        <v>150</v>
      </c>
      <c r="C9" s="126"/>
      <c r="D9" s="125" t="s">
        <v>151</v>
      </c>
      <c r="E9" s="126"/>
      <c r="F9" s="93" t="s">
        <v>152</v>
      </c>
    </row>
    <row r="10" spans="1:15" x14ac:dyDescent="0.2">
      <c r="A10" s="88">
        <v>45566</v>
      </c>
      <c r="B10" s="116" t="s">
        <v>153</v>
      </c>
      <c r="C10" s="116"/>
      <c r="D10" s="116" t="s">
        <v>154</v>
      </c>
      <c r="E10" s="116"/>
      <c r="F10" s="87">
        <v>200</v>
      </c>
      <c r="G10" s="123" t="s">
        <v>155</v>
      </c>
      <c r="H10" s="124"/>
      <c r="I10" s="124"/>
      <c r="J10" s="124"/>
      <c r="K10" s="124"/>
      <c r="L10" s="124"/>
      <c r="M10" s="124"/>
      <c r="N10" s="124"/>
      <c r="O10" s="124"/>
    </row>
    <row r="11" spans="1:15" x14ac:dyDescent="0.2">
      <c r="A11" s="88">
        <v>45566</v>
      </c>
      <c r="B11" s="114" t="s">
        <v>156</v>
      </c>
      <c r="C11" s="115"/>
      <c r="D11" s="116" t="s">
        <v>157</v>
      </c>
      <c r="E11" s="116"/>
      <c r="F11" s="87"/>
    </row>
    <row r="12" spans="1:15" x14ac:dyDescent="0.2">
      <c r="A12" s="88">
        <v>45566</v>
      </c>
      <c r="B12" s="114" t="s">
        <v>158</v>
      </c>
      <c r="C12" s="115"/>
      <c r="D12" s="116"/>
      <c r="E12" s="116"/>
      <c r="F12" s="87"/>
    </row>
    <row r="13" spans="1:15" x14ac:dyDescent="0.2">
      <c r="A13" s="88">
        <v>45566</v>
      </c>
      <c r="B13" s="114"/>
      <c r="C13" s="115"/>
      <c r="D13" s="116"/>
      <c r="E13" s="116"/>
      <c r="F13" s="87"/>
    </row>
    <row r="14" spans="1:15" x14ac:dyDescent="0.2">
      <c r="A14" s="88">
        <v>45566</v>
      </c>
      <c r="B14" s="114"/>
      <c r="C14" s="115"/>
      <c r="D14" s="116"/>
      <c r="E14" s="116"/>
      <c r="F14" s="87"/>
    </row>
    <row r="15" spans="1:15" x14ac:dyDescent="0.2">
      <c r="A15" s="88">
        <v>45566</v>
      </c>
      <c r="B15" s="120"/>
      <c r="C15" s="121"/>
      <c r="D15" s="116"/>
      <c r="E15" s="116"/>
      <c r="F15" s="87"/>
    </row>
    <row r="16" spans="1:15" ht="13.2" thickBot="1" x14ac:dyDescent="0.25">
      <c r="A16" s="88">
        <v>45566</v>
      </c>
      <c r="B16" s="114"/>
      <c r="C16" s="115"/>
      <c r="D16" s="116"/>
      <c r="E16" s="116"/>
      <c r="F16" s="87"/>
    </row>
    <row r="17" spans="1:6" ht="13.5" customHeight="1" thickBot="1" x14ac:dyDescent="0.25">
      <c r="A17" s="117" t="s">
        <v>159</v>
      </c>
      <c r="B17" s="118"/>
      <c r="C17" s="118"/>
      <c r="D17" s="118"/>
      <c r="E17" s="119"/>
      <c r="F17" s="86">
        <f>SUM(F10:F16)</f>
        <v>200</v>
      </c>
    </row>
    <row r="18" spans="1:6" x14ac:dyDescent="0.2">
      <c r="A18" s="83"/>
      <c r="B18" s="84"/>
      <c r="C18" s="84"/>
      <c r="D18" s="84"/>
      <c r="E18" s="85"/>
      <c r="F18" s="85"/>
    </row>
  </sheetData>
  <mergeCells count="19">
    <mergeCell ref="G10:O10"/>
    <mergeCell ref="B9:C9"/>
    <mergeCell ref="D9:E9"/>
    <mergeCell ref="B10:C10"/>
    <mergeCell ref="D10:E10"/>
    <mergeCell ref="A8:F8"/>
    <mergeCell ref="B11:C11"/>
    <mergeCell ref="D11:E11"/>
    <mergeCell ref="B12:C12"/>
    <mergeCell ref="D12:E12"/>
    <mergeCell ref="B13:C13"/>
    <mergeCell ref="D13:E13"/>
    <mergeCell ref="A17:E17"/>
    <mergeCell ref="B14:C14"/>
    <mergeCell ref="D14:E14"/>
    <mergeCell ref="B15:C15"/>
    <mergeCell ref="D15:E15"/>
    <mergeCell ref="B16:C16"/>
    <mergeCell ref="D16:E16"/>
  </mergeCells>
  <dataValidations count="1">
    <dataValidation type="list" allowBlank="1" showInputMessage="1" showErrorMessage="1" sqref="D7 D18" xr:uid="{517DF1E8-3052-48CF-9AE1-C19E6ECB6686}">
      <formula1>$H$2:$H$4</formula1>
    </dataValidation>
  </dataValidations>
  <pageMargins left="0.7" right="0.7" top="0.75" bottom="0.75" header="0.3" footer="0.3"/>
  <headerFooter>
    <oddFooter>&amp;L_x000D_&amp;1#&amp;"Calibri"&amp;8&amp;K000000 Classified as Confidential</oddFoot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47896F57-C723-4B2F-A817-4B0B599756FB}">
          <x14:formula1>
            <xm:f>Key!$H$3:$H$62</xm:f>
          </x14:formula1>
          <xm:sqref>B5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17D5F3-AC91-43ED-96BB-0299CBED5EE0}">
  <dimension ref="A4:F23"/>
  <sheetViews>
    <sheetView zoomScale="75" zoomScaleNormal="75" workbookViewId="0">
      <selection activeCell="A10" sqref="A10:F13"/>
    </sheetView>
  </sheetViews>
  <sheetFormatPr defaultColWidth="8.69921875" defaultRowHeight="12.6" x14ac:dyDescent="0.2"/>
  <cols>
    <col min="1" max="1" width="15.5" style="21" bestFit="1" customWidth="1"/>
    <col min="2" max="2" width="11.69921875" style="21" customWidth="1"/>
    <col min="3" max="3" width="9.69921875" style="21" customWidth="1"/>
    <col min="4" max="16384" width="8.69921875" style="21"/>
  </cols>
  <sheetData>
    <row r="4" spans="1:6" x14ac:dyDescent="0.2">
      <c r="A4" s="127"/>
      <c r="B4" s="127"/>
    </row>
    <row r="5" spans="1:6" x14ac:dyDescent="0.2">
      <c r="A5" s="35" t="s">
        <v>0</v>
      </c>
      <c r="B5" s="21" t="s">
        <v>1</v>
      </c>
    </row>
    <row r="6" spans="1:6" x14ac:dyDescent="0.2">
      <c r="A6" s="89" t="s">
        <v>160</v>
      </c>
      <c r="B6" s="89"/>
    </row>
    <row r="7" spans="1:6" x14ac:dyDescent="0.2">
      <c r="A7" s="105" t="s">
        <v>161</v>
      </c>
      <c r="B7" s="105"/>
    </row>
    <row r="8" spans="1:6" x14ac:dyDescent="0.2">
      <c r="A8" s="106"/>
      <c r="B8" s="95"/>
    </row>
    <row r="9" spans="1:6" ht="27.45" customHeight="1" x14ac:dyDescent="0.2">
      <c r="A9" s="141" t="s">
        <v>162</v>
      </c>
      <c r="B9" s="141"/>
      <c r="C9" s="141"/>
      <c r="D9" s="141"/>
      <c r="E9" s="141"/>
      <c r="F9" s="141"/>
    </row>
    <row r="10" spans="1:6" ht="25.2" x14ac:dyDescent="0.2">
      <c r="A10" s="97" t="s">
        <v>163</v>
      </c>
      <c r="B10" s="97" t="s">
        <v>164</v>
      </c>
      <c r="C10" s="97" t="s">
        <v>165</v>
      </c>
      <c r="D10" s="97" t="s">
        <v>166</v>
      </c>
      <c r="E10" s="97" t="s">
        <v>167</v>
      </c>
      <c r="F10" s="97" t="s">
        <v>168</v>
      </c>
    </row>
    <row r="11" spans="1:6" x14ac:dyDescent="0.2">
      <c r="A11" s="97" t="s">
        <v>169</v>
      </c>
      <c r="B11" s="107">
        <v>45749</v>
      </c>
      <c r="C11" s="107">
        <v>45750</v>
      </c>
      <c r="D11" s="97">
        <v>1</v>
      </c>
      <c r="E11" s="97"/>
      <c r="F11" s="97"/>
    </row>
    <row r="12" spans="1:6" x14ac:dyDescent="0.2">
      <c r="A12" s="97"/>
      <c r="B12" s="97"/>
      <c r="C12" s="97"/>
      <c r="D12" s="97"/>
      <c r="E12" s="97"/>
      <c r="F12" s="97"/>
    </row>
    <row r="13" spans="1:6" ht="13.2" thickBot="1" x14ac:dyDescent="0.25">
      <c r="A13" s="97"/>
      <c r="B13" s="97"/>
      <c r="C13" s="97"/>
      <c r="D13" s="97"/>
      <c r="E13" s="97"/>
      <c r="F13" s="97"/>
    </row>
    <row r="14" spans="1:6" ht="13.2" thickBot="1" x14ac:dyDescent="0.25">
      <c r="A14" s="98"/>
      <c r="B14" s="99"/>
      <c r="C14" s="99"/>
      <c r="D14" s="100">
        <f>SUM(D11:D13)</f>
        <v>1</v>
      </c>
      <c r="E14" s="99"/>
      <c r="F14" s="101"/>
    </row>
    <row r="15" spans="1:6" ht="13.2" thickBot="1" x14ac:dyDescent="0.25">
      <c r="A15" s="131"/>
      <c r="B15" s="132"/>
      <c r="C15" s="132"/>
      <c r="D15" s="132"/>
      <c r="E15" s="132"/>
      <c r="F15" s="132"/>
    </row>
    <row r="16" spans="1:6" x14ac:dyDescent="0.2">
      <c r="A16" s="142" t="s">
        <v>170</v>
      </c>
      <c r="B16" s="143"/>
      <c r="C16" s="143"/>
      <c r="D16" s="143"/>
      <c r="E16" s="143"/>
      <c r="F16" s="144"/>
    </row>
    <row r="17" spans="1:6" x14ac:dyDescent="0.2">
      <c r="A17" s="128" t="s">
        <v>171</v>
      </c>
      <c r="B17" s="129"/>
      <c r="C17" s="129"/>
      <c r="D17" s="129"/>
      <c r="E17" s="129"/>
      <c r="F17" s="130"/>
    </row>
    <row r="18" spans="1:6" x14ac:dyDescent="0.2">
      <c r="A18" s="128"/>
      <c r="B18" s="129"/>
      <c r="C18" s="129"/>
      <c r="D18" s="129"/>
      <c r="E18" s="129"/>
      <c r="F18" s="130"/>
    </row>
    <row r="19" spans="1:6" ht="13.2" thickBot="1" x14ac:dyDescent="0.25">
      <c r="A19" s="131"/>
      <c r="B19" s="132"/>
      <c r="C19" s="132"/>
      <c r="D19" s="132"/>
      <c r="E19" s="132"/>
      <c r="F19" s="133"/>
    </row>
    <row r="20" spans="1:6" ht="13.2" thickBot="1" x14ac:dyDescent="0.25"/>
    <row r="21" spans="1:6" x14ac:dyDescent="0.2">
      <c r="A21" s="102" t="s">
        <v>3</v>
      </c>
      <c r="B21" s="134">
        <v>45741</v>
      </c>
      <c r="C21" s="135"/>
      <c r="D21" s="135"/>
      <c r="E21" s="135"/>
      <c r="F21" s="136"/>
    </row>
    <row r="22" spans="1:6" x14ac:dyDescent="0.2">
      <c r="A22" s="103" t="s">
        <v>172</v>
      </c>
      <c r="B22" s="137" t="s">
        <v>173</v>
      </c>
      <c r="C22" s="137"/>
      <c r="D22" s="137"/>
      <c r="E22" s="137"/>
      <c r="F22" s="138"/>
    </row>
    <row r="23" spans="1:6" ht="13.2" thickBot="1" x14ac:dyDescent="0.25">
      <c r="A23" s="104" t="s">
        <v>174</v>
      </c>
      <c r="B23" s="139"/>
      <c r="C23" s="139"/>
      <c r="D23" s="139"/>
      <c r="E23" s="139"/>
      <c r="F23" s="140"/>
    </row>
  </sheetData>
  <mergeCells count="8">
    <mergeCell ref="A4:B4"/>
    <mergeCell ref="A17:F19"/>
    <mergeCell ref="B21:F21"/>
    <mergeCell ref="B22:F22"/>
    <mergeCell ref="B23:F23"/>
    <mergeCell ref="A9:F9"/>
    <mergeCell ref="A15:F15"/>
    <mergeCell ref="A16:F16"/>
  </mergeCells>
  <dataValidations count="1">
    <dataValidation type="list" allowBlank="1" showInputMessage="1" showErrorMessage="1" sqref="A10" xr:uid="{CEFCDC94-987C-4D1C-815A-6BA49170943C}">
      <formula1>$H$2:$H$12</formula1>
    </dataValidation>
  </dataValidations>
  <pageMargins left="0.7" right="0.7" top="0.75" bottom="0.75" header="0.3" footer="0.3"/>
  <headerFooter>
    <oddFooter>&amp;L_x000D_&amp;1#&amp;"Calibri"&amp;8&amp;K000000 Classified as Confidential</oddFooter>
  </headerFooter>
  <drawing r:id="rId1"/>
  <extLst>
    <ext xmlns:x14="http://schemas.microsoft.com/office/spreadsheetml/2009/9/main" uri="{CCE6A557-97BC-4b89-ADB6-D9C93CAAB3DF}">
      <x14:dataValidations xmlns:xm="http://schemas.microsoft.com/office/excel/2006/main" count="3">
        <x14:dataValidation type="list" allowBlank="1" showInputMessage="1" showErrorMessage="1" xr:uid="{CE3D3C50-50E6-4476-A1AC-B75CC367015A}">
          <x14:formula1>
            <xm:f>Key!#REF!</xm:f>
          </x14:formula1>
          <xm:sqref>C4:F4</xm:sqref>
        </x14:dataValidation>
        <x14:dataValidation type="list" allowBlank="1" showInputMessage="1" showErrorMessage="1" xr:uid="{10ADA8E5-0E67-4753-AB35-24D5F605BBCC}">
          <x14:formula1>
            <xm:f>Key!$F$33:$F$40</xm:f>
          </x14:formula1>
          <xm:sqref>A11:A14</xm:sqref>
        </x14:dataValidation>
        <x14:dataValidation type="list" allowBlank="1" showInputMessage="1" showErrorMessage="1" xr:uid="{39EE865D-1893-4D91-9C9E-FAFF9DC830A7}">
          <x14:formula1>
            <xm:f>Key!$H$3:$H$62</xm:f>
          </x14:formula1>
          <xm:sqref>B5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9B26B-3D49-4153-AAFE-5F32086A9ABD}">
  <sheetPr>
    <tabColor theme="4"/>
  </sheetPr>
  <dimension ref="B2:K62"/>
  <sheetViews>
    <sheetView tabSelected="1" workbookViewId="0">
      <selection activeCell="F2" sqref="F2:F39"/>
    </sheetView>
  </sheetViews>
  <sheetFormatPr defaultColWidth="8.69921875" defaultRowHeight="14.4" x14ac:dyDescent="0.3"/>
  <cols>
    <col min="1" max="1" width="8.69921875" style="50"/>
    <col min="2" max="2" width="25.5" style="50" customWidth="1"/>
    <col min="3" max="3" width="8.69921875" style="50"/>
    <col min="4" max="4" width="19.19921875" style="50" customWidth="1"/>
    <col min="5" max="5" width="8.69921875" style="50"/>
    <col min="6" max="6" width="21.69921875" style="50" customWidth="1"/>
    <col min="7" max="16384" width="8.69921875" style="50"/>
  </cols>
  <sheetData>
    <row r="2" spans="2:11" ht="15" thickBot="1" x14ac:dyDescent="0.35">
      <c r="B2" s="71" t="s">
        <v>24</v>
      </c>
      <c r="D2" s="51" t="s">
        <v>175</v>
      </c>
      <c r="F2" s="50" t="s">
        <v>7</v>
      </c>
      <c r="H2" s="50" t="s">
        <v>176</v>
      </c>
      <c r="K2" s="51" t="s">
        <v>177</v>
      </c>
    </row>
    <row r="3" spans="2:11" x14ac:dyDescent="0.3">
      <c r="B3" s="71" t="s">
        <v>178</v>
      </c>
      <c r="D3" s="81" t="s">
        <v>179</v>
      </c>
      <c r="F3" s="53" t="s">
        <v>180</v>
      </c>
      <c r="H3" s="72" t="s">
        <v>181</v>
      </c>
      <c r="K3" s="54" t="s">
        <v>19</v>
      </c>
    </row>
    <row r="4" spans="2:11" x14ac:dyDescent="0.3">
      <c r="B4" s="71" t="s">
        <v>182</v>
      </c>
      <c r="D4" s="52" t="s">
        <v>183</v>
      </c>
      <c r="F4" s="55" t="s">
        <v>51</v>
      </c>
      <c r="H4" s="73" t="s">
        <v>184</v>
      </c>
      <c r="K4" s="56" t="s">
        <v>177</v>
      </c>
    </row>
    <row r="5" spans="2:11" x14ac:dyDescent="0.3">
      <c r="B5" s="71" t="s">
        <v>185</v>
      </c>
      <c r="D5" s="81" t="s">
        <v>186</v>
      </c>
      <c r="F5" s="57" t="s">
        <v>187</v>
      </c>
      <c r="H5" s="74" t="s">
        <v>188</v>
      </c>
    </row>
    <row r="6" spans="2:11" x14ac:dyDescent="0.3">
      <c r="B6" s="71" t="s">
        <v>189</v>
      </c>
      <c r="D6" s="52" t="s">
        <v>190</v>
      </c>
      <c r="F6" s="55" t="s">
        <v>191</v>
      </c>
      <c r="H6" s="73" t="s">
        <v>192</v>
      </c>
    </row>
    <row r="7" spans="2:11" x14ac:dyDescent="0.3">
      <c r="B7" s="71" t="s">
        <v>193</v>
      </c>
      <c r="D7" s="81" t="s">
        <v>194</v>
      </c>
      <c r="F7" s="57" t="s">
        <v>55</v>
      </c>
      <c r="H7" s="72" t="s">
        <v>195</v>
      </c>
    </row>
    <row r="8" spans="2:11" x14ac:dyDescent="0.3">
      <c r="B8" s="71" t="s">
        <v>196</v>
      </c>
      <c r="D8" s="52" t="s">
        <v>197</v>
      </c>
      <c r="F8" s="55" t="s">
        <v>198</v>
      </c>
      <c r="H8" s="72" t="s">
        <v>199</v>
      </c>
      <c r="K8" s="50" t="s">
        <v>200</v>
      </c>
    </row>
    <row r="9" spans="2:11" x14ac:dyDescent="0.3">
      <c r="B9" s="71" t="s">
        <v>201</v>
      </c>
      <c r="D9" s="81" t="s">
        <v>202</v>
      </c>
      <c r="F9" s="57" t="s">
        <v>203</v>
      </c>
      <c r="H9" s="72" t="s">
        <v>204</v>
      </c>
      <c r="K9" s="50" t="s">
        <v>154</v>
      </c>
    </row>
    <row r="10" spans="2:11" x14ac:dyDescent="0.3">
      <c r="B10" s="71" t="s">
        <v>205</v>
      </c>
      <c r="D10" s="52" t="s">
        <v>206</v>
      </c>
      <c r="F10" s="55" t="s">
        <v>207</v>
      </c>
      <c r="H10" s="73" t="s">
        <v>208</v>
      </c>
    </row>
    <row r="11" spans="2:11" x14ac:dyDescent="0.3">
      <c r="B11" s="71" t="s">
        <v>209</v>
      </c>
      <c r="D11" s="81" t="s">
        <v>210</v>
      </c>
      <c r="F11" s="57" t="s">
        <v>211</v>
      </c>
      <c r="H11" s="73" t="s">
        <v>212</v>
      </c>
      <c r="K11" s="50" t="s">
        <v>213</v>
      </c>
    </row>
    <row r="12" spans="2:11" x14ac:dyDescent="0.3">
      <c r="B12" s="71" t="s">
        <v>214</v>
      </c>
      <c r="F12" s="55" t="s">
        <v>215</v>
      </c>
      <c r="H12" s="72" t="s">
        <v>216</v>
      </c>
      <c r="K12" s="50" t="s">
        <v>217</v>
      </c>
    </row>
    <row r="13" spans="2:11" x14ac:dyDescent="0.3">
      <c r="B13" s="71" t="s">
        <v>218</v>
      </c>
      <c r="F13" s="57" t="s">
        <v>219</v>
      </c>
      <c r="H13" s="75" t="s">
        <v>220</v>
      </c>
    </row>
    <row r="14" spans="2:11" x14ac:dyDescent="0.3">
      <c r="B14" s="71" t="s">
        <v>221</v>
      </c>
      <c r="D14" s="58"/>
      <c r="F14" s="55" t="s">
        <v>222</v>
      </c>
      <c r="H14" s="76" t="s">
        <v>223</v>
      </c>
    </row>
    <row r="15" spans="2:11" x14ac:dyDescent="0.3">
      <c r="B15" s="71" t="s">
        <v>224</v>
      </c>
      <c r="D15" s="59"/>
      <c r="F15" s="57" t="s">
        <v>18</v>
      </c>
      <c r="H15" s="76" t="s">
        <v>225</v>
      </c>
    </row>
    <row r="16" spans="2:11" x14ac:dyDescent="0.3">
      <c r="B16" s="71" t="s">
        <v>16</v>
      </c>
      <c r="D16" s="59"/>
      <c r="F16" s="55" t="s">
        <v>226</v>
      </c>
      <c r="H16" s="76" t="s">
        <v>227</v>
      </c>
    </row>
    <row r="17" spans="2:8" ht="27.6" x14ac:dyDescent="0.3">
      <c r="B17" s="71" t="s">
        <v>228</v>
      </c>
      <c r="D17" s="59"/>
      <c r="F17" s="57" t="s">
        <v>229</v>
      </c>
      <c r="H17" s="76" t="s">
        <v>230</v>
      </c>
    </row>
    <row r="18" spans="2:8" x14ac:dyDescent="0.3">
      <c r="B18" s="71" t="s">
        <v>231</v>
      </c>
      <c r="D18" s="59"/>
      <c r="F18" s="55" t="s">
        <v>232</v>
      </c>
      <c r="H18" s="75" t="s">
        <v>233</v>
      </c>
    </row>
    <row r="19" spans="2:8" x14ac:dyDescent="0.3">
      <c r="B19" s="71" t="s">
        <v>234</v>
      </c>
      <c r="D19" s="59"/>
      <c r="F19" s="57" t="s">
        <v>26</v>
      </c>
      <c r="H19" s="76" t="s">
        <v>235</v>
      </c>
    </row>
    <row r="20" spans="2:8" x14ac:dyDescent="0.3">
      <c r="B20" s="71" t="s">
        <v>236</v>
      </c>
      <c r="D20" s="59"/>
      <c r="F20" s="55" t="s">
        <v>237</v>
      </c>
      <c r="H20" s="75" t="s">
        <v>238</v>
      </c>
    </row>
    <row r="21" spans="2:8" x14ac:dyDescent="0.3">
      <c r="B21" s="71" t="s">
        <v>239</v>
      </c>
      <c r="D21" s="59"/>
      <c r="F21" s="57" t="s">
        <v>240</v>
      </c>
      <c r="H21" s="75" t="s">
        <v>241</v>
      </c>
    </row>
    <row r="22" spans="2:8" x14ac:dyDescent="0.3">
      <c r="B22" s="71" t="s">
        <v>242</v>
      </c>
      <c r="D22" s="59"/>
      <c r="F22" s="55" t="s">
        <v>243</v>
      </c>
      <c r="H22" s="75" t="s">
        <v>244</v>
      </c>
    </row>
    <row r="23" spans="2:8" x14ac:dyDescent="0.3">
      <c r="B23" s="71" t="s">
        <v>245</v>
      </c>
      <c r="D23" s="59"/>
      <c r="F23" s="57" t="s">
        <v>246</v>
      </c>
      <c r="H23" s="73" t="s">
        <v>247</v>
      </c>
    </row>
    <row r="24" spans="2:8" x14ac:dyDescent="0.3">
      <c r="B24" s="71" t="s">
        <v>248</v>
      </c>
      <c r="D24" s="59"/>
      <c r="F24" s="55" t="s">
        <v>249</v>
      </c>
      <c r="H24" s="75" t="s">
        <v>250</v>
      </c>
    </row>
    <row r="25" spans="2:8" x14ac:dyDescent="0.3">
      <c r="B25" s="71" t="s">
        <v>251</v>
      </c>
      <c r="D25" s="59"/>
      <c r="F25" s="57" t="s">
        <v>252</v>
      </c>
      <c r="H25" s="77" t="s">
        <v>253</v>
      </c>
    </row>
    <row r="26" spans="2:8" x14ac:dyDescent="0.3">
      <c r="B26" s="71" t="s">
        <v>254</v>
      </c>
      <c r="F26" s="55" t="s">
        <v>255</v>
      </c>
      <c r="H26" s="78" t="s">
        <v>256</v>
      </c>
    </row>
    <row r="27" spans="2:8" x14ac:dyDescent="0.3">
      <c r="B27" s="71" t="s">
        <v>257</v>
      </c>
      <c r="D27" s="59"/>
      <c r="F27" s="57" t="s">
        <v>258</v>
      </c>
      <c r="H27" s="79" t="s">
        <v>259</v>
      </c>
    </row>
    <row r="28" spans="2:8" x14ac:dyDescent="0.3">
      <c r="B28" s="71" t="s">
        <v>260</v>
      </c>
      <c r="D28" s="59"/>
      <c r="F28" s="55" t="s">
        <v>261</v>
      </c>
      <c r="H28" s="78" t="s">
        <v>262</v>
      </c>
    </row>
    <row r="29" spans="2:8" x14ac:dyDescent="0.3">
      <c r="B29" s="71" t="s">
        <v>263</v>
      </c>
      <c r="F29" s="57" t="s">
        <v>264</v>
      </c>
      <c r="H29" s="80" t="s">
        <v>265</v>
      </c>
    </row>
    <row r="30" spans="2:8" x14ac:dyDescent="0.3">
      <c r="B30" s="71" t="s">
        <v>266</v>
      </c>
      <c r="F30" s="55" t="s">
        <v>267</v>
      </c>
      <c r="H30" s="79" t="s">
        <v>268</v>
      </c>
    </row>
    <row r="31" spans="2:8" x14ac:dyDescent="0.3">
      <c r="B31" s="71" t="s">
        <v>269</v>
      </c>
      <c r="F31" s="57" t="s">
        <v>270</v>
      </c>
      <c r="H31" s="79" t="s">
        <v>271</v>
      </c>
    </row>
    <row r="32" spans="2:8" x14ac:dyDescent="0.3">
      <c r="B32" s="71" t="s">
        <v>272</v>
      </c>
      <c r="F32" s="55" t="s">
        <v>273</v>
      </c>
      <c r="H32" s="79" t="s">
        <v>274</v>
      </c>
    </row>
    <row r="33" spans="2:8" x14ac:dyDescent="0.3">
      <c r="B33" s="71" t="s">
        <v>275</v>
      </c>
      <c r="F33" s="57" t="s">
        <v>169</v>
      </c>
      <c r="H33" s="79" t="s">
        <v>276</v>
      </c>
    </row>
    <row r="34" spans="2:8" x14ac:dyDescent="0.3">
      <c r="B34" s="71" t="s">
        <v>277</v>
      </c>
      <c r="F34" s="55" t="s">
        <v>278</v>
      </c>
      <c r="H34" s="79" t="s">
        <v>279</v>
      </c>
    </row>
    <row r="35" spans="2:8" x14ac:dyDescent="0.3">
      <c r="B35" s="71" t="s">
        <v>280</v>
      </c>
      <c r="F35" s="57" t="s">
        <v>281</v>
      </c>
      <c r="H35" s="79" t="s">
        <v>282</v>
      </c>
    </row>
    <row r="36" spans="2:8" x14ac:dyDescent="0.3">
      <c r="B36" s="71" t="s">
        <v>283</v>
      </c>
      <c r="F36" s="55" t="s">
        <v>284</v>
      </c>
      <c r="H36" s="79" t="s">
        <v>285</v>
      </c>
    </row>
    <row r="37" spans="2:8" x14ac:dyDescent="0.3">
      <c r="B37" s="71" t="s">
        <v>286</v>
      </c>
      <c r="F37" s="55" t="s">
        <v>287</v>
      </c>
      <c r="H37" s="79" t="s">
        <v>288</v>
      </c>
    </row>
    <row r="38" spans="2:8" x14ac:dyDescent="0.3">
      <c r="B38" s="71" t="s">
        <v>289</v>
      </c>
      <c r="F38" s="55" t="s">
        <v>104</v>
      </c>
      <c r="H38" s="79" t="s">
        <v>290</v>
      </c>
    </row>
    <row r="39" spans="2:8" x14ac:dyDescent="0.3">
      <c r="B39" s="71" t="s">
        <v>291</v>
      </c>
      <c r="F39" s="55" t="s">
        <v>292</v>
      </c>
      <c r="H39" s="79" t="s">
        <v>293</v>
      </c>
    </row>
    <row r="40" spans="2:8" x14ac:dyDescent="0.3">
      <c r="B40" s="71" t="s">
        <v>294</v>
      </c>
      <c r="H40" s="79" t="s">
        <v>295</v>
      </c>
    </row>
    <row r="41" spans="2:8" x14ac:dyDescent="0.3">
      <c r="B41" s="62"/>
      <c r="D41" s="63"/>
      <c r="H41" s="72" t="s">
        <v>296</v>
      </c>
    </row>
    <row r="42" spans="2:8" x14ac:dyDescent="0.3">
      <c r="B42" s="60"/>
      <c r="H42" s="79" t="s">
        <v>297</v>
      </c>
    </row>
    <row r="43" spans="2:8" x14ac:dyDescent="0.3">
      <c r="H43" s="78" t="s">
        <v>298</v>
      </c>
    </row>
    <row r="44" spans="2:8" x14ac:dyDescent="0.3">
      <c r="B44" s="61"/>
      <c r="H44" s="79" t="s">
        <v>299</v>
      </c>
    </row>
    <row r="45" spans="2:8" x14ac:dyDescent="0.3">
      <c r="H45" s="79" t="s">
        <v>300</v>
      </c>
    </row>
    <row r="46" spans="2:8" x14ac:dyDescent="0.3">
      <c r="H46" s="79" t="s">
        <v>301</v>
      </c>
    </row>
    <row r="47" spans="2:8" x14ac:dyDescent="0.3">
      <c r="B47" s="61"/>
      <c r="H47" s="79" t="s">
        <v>302</v>
      </c>
    </row>
    <row r="48" spans="2:8" x14ac:dyDescent="0.3">
      <c r="H48" s="78" t="s">
        <v>303</v>
      </c>
    </row>
    <row r="49" spans="8:8" x14ac:dyDescent="0.3">
      <c r="H49" s="78" t="s">
        <v>304</v>
      </c>
    </row>
    <row r="50" spans="8:8" x14ac:dyDescent="0.3">
      <c r="H50" s="78" t="s">
        <v>305</v>
      </c>
    </row>
    <row r="51" spans="8:8" x14ac:dyDescent="0.3">
      <c r="H51" s="78" t="s">
        <v>306</v>
      </c>
    </row>
    <row r="52" spans="8:8" x14ac:dyDescent="0.3">
      <c r="H52" s="65" t="s">
        <v>307</v>
      </c>
    </row>
    <row r="53" spans="8:8" x14ac:dyDescent="0.3">
      <c r="H53" s="64" t="s">
        <v>308</v>
      </c>
    </row>
    <row r="54" spans="8:8" x14ac:dyDescent="0.3">
      <c r="H54" s="65" t="s">
        <v>146</v>
      </c>
    </row>
    <row r="55" spans="8:8" ht="15" thickBot="1" x14ac:dyDescent="0.35">
      <c r="H55" s="66" t="s">
        <v>309</v>
      </c>
    </row>
    <row r="56" spans="8:8" ht="15" thickBot="1" x14ac:dyDescent="0.35">
      <c r="H56" s="70" t="s">
        <v>1</v>
      </c>
    </row>
    <row r="57" spans="8:8" ht="15" thickBot="1" x14ac:dyDescent="0.35">
      <c r="H57" s="70"/>
    </row>
    <row r="58" spans="8:8" ht="15" thickBot="1" x14ac:dyDescent="0.35">
      <c r="H58" s="67"/>
    </row>
    <row r="59" spans="8:8" ht="15" thickBot="1" x14ac:dyDescent="0.35">
      <c r="H59" s="67"/>
    </row>
    <row r="60" spans="8:8" ht="15" thickBot="1" x14ac:dyDescent="0.35">
      <c r="H60" s="68"/>
    </row>
    <row r="61" spans="8:8" ht="15" thickBot="1" x14ac:dyDescent="0.35">
      <c r="H61" s="69"/>
    </row>
    <row r="62" spans="8:8" ht="15" thickBot="1" x14ac:dyDescent="0.35">
      <c r="H62" s="67"/>
    </row>
  </sheetData>
  <sortState xmlns:xlrd2="http://schemas.microsoft.com/office/spreadsheetml/2017/richdata2" ref="B5:B87">
    <sortCondition ref="B87"/>
  </sortState>
  <pageMargins left="0.7" right="0.7" top="0.75" bottom="0.75" header="0.3" footer="0.3"/>
  <headerFooter>
    <oddFooter>&amp;L_x000D_&amp;1#&amp;"Calibri"&amp;8&amp;K000000 Classified as Confidential</oddFooter>
  </headerFooter>
  <tableParts count="2">
    <tablePart r:id="rId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d277ce56-8de3-43c1-b9ce-ff5033dad840">
      <Terms xmlns="http://schemas.microsoft.com/office/infopath/2007/PartnerControls"/>
    </lcf76f155ced4ddcb4097134ff3c332f>
    <TaxCatchAll xmlns="0b8b2123-f09a-47bf-9044-f6e489c8d7a1"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EA673424E99D044B4A1FB44474552A9" ma:contentTypeVersion="11" ma:contentTypeDescription="Create a new document." ma:contentTypeScope="" ma:versionID="541cb6b9fee9288be1513af1acd9efd1">
  <xsd:schema xmlns:xsd="http://www.w3.org/2001/XMLSchema" xmlns:xs="http://www.w3.org/2001/XMLSchema" xmlns:p="http://schemas.microsoft.com/office/2006/metadata/properties" xmlns:ns2="d277ce56-8de3-43c1-b9ce-ff5033dad840" xmlns:ns3="0b8b2123-f09a-47bf-9044-f6e489c8d7a1" targetNamespace="http://schemas.microsoft.com/office/2006/metadata/properties" ma:root="true" ma:fieldsID="073d35413c2933ae4492be48b3c2f5c2" ns2:_="" ns3:_="">
    <xsd:import namespace="d277ce56-8de3-43c1-b9ce-ff5033dad840"/>
    <xsd:import namespace="0b8b2123-f09a-47bf-9044-f6e489c8d7a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277ce56-8de3-43c1-b9ce-ff5033dad8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cce2594-6122-4e3a-901b-0eca72ea527c"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b8b2123-f09a-47bf-9044-f6e489c8d7a1"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baeda32-f816-49b3-b408-e16626ce47b5}" ma:internalName="TaxCatchAll" ma:showField="CatchAllData" ma:web="0b8b2123-f09a-47bf-9044-f6e489c8d7a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8C57E59-0DF9-4D65-A36C-777CC56BE12A}">
  <ds:schemaRefs>
    <ds:schemaRef ds:uri="http://schemas.microsoft.com/office/2006/metadata/properties"/>
    <ds:schemaRef ds:uri="http://schemas.microsoft.com/office/infopath/2007/PartnerControls"/>
    <ds:schemaRef ds:uri="d277ce56-8de3-43c1-b9ce-ff5033dad840"/>
    <ds:schemaRef ds:uri="0b8b2123-f09a-47bf-9044-f6e489c8d7a1"/>
  </ds:schemaRefs>
</ds:datastoreItem>
</file>

<file path=customXml/itemProps2.xml><?xml version="1.0" encoding="utf-8"?>
<ds:datastoreItem xmlns:ds="http://schemas.openxmlformats.org/officeDocument/2006/customXml" ds:itemID="{B424088B-8617-45D1-8A35-D201B06537C0}">
  <ds:schemaRefs>
    <ds:schemaRef ds:uri="http://schemas.microsoft.com/sharepoint/v3/contenttype/forms"/>
  </ds:schemaRefs>
</ds:datastoreItem>
</file>

<file path=customXml/itemProps3.xml><?xml version="1.0" encoding="utf-8"?>
<ds:datastoreItem xmlns:ds="http://schemas.openxmlformats.org/officeDocument/2006/customXml" ds:itemID="{5FC025E0-83C4-41A2-8CDF-080E5579774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277ce56-8de3-43c1-b9ce-ff5033dad840"/>
    <ds:schemaRef ds:uri="0b8b2123-f09a-47bf-9044-f6e489c8d7a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174c7352-9c5c-4558-b848-be140b444e7d}" enabled="0" method="" siteId="{174c7352-9c5c-4558-b848-be140b444e7d}"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5</vt:i4>
      </vt:variant>
    </vt:vector>
  </HeadingPairs>
  <TitlesOfParts>
    <vt:vector size="9" baseType="lpstr">
      <vt:lpstr>Mar</vt:lpstr>
      <vt:lpstr>Expense Claim</vt:lpstr>
      <vt:lpstr>Leave</vt:lpstr>
      <vt:lpstr>Key</vt:lpstr>
      <vt:lpstr>Clients</vt:lpstr>
      <vt:lpstr>Consultant</vt:lpstr>
      <vt:lpstr>Description</vt:lpstr>
      <vt:lpstr>Leaves</vt:lpstr>
      <vt:lpstr>tblTime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Zanele Khumalo</dc:creator>
  <cp:keywords/>
  <dc:description/>
  <cp:lastModifiedBy>Neo Motaung</cp:lastModifiedBy>
  <cp:revision/>
  <dcterms:created xsi:type="dcterms:W3CDTF">2020-04-02T09:04:10Z</dcterms:created>
  <dcterms:modified xsi:type="dcterms:W3CDTF">2025-06-04T11:10:24Z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0x010100DEA673424E99D044B4A1FB44474552A9</vt:lpwstr>
  </property>
  <property fmtid="{D5CDD505-2E9C-101B-9397-08002B2CF9AE}" pid="3" name="MediaServiceImageTags">
    <vt:lpwstr/>
  </property>
</Properties>
</file>
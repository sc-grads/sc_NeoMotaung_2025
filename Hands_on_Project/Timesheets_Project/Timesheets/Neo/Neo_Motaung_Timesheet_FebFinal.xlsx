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drawings/drawing3.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mc:AlternateContent xmlns:mc="http://schemas.openxmlformats.org/markup-compatibility/2006">
    <mc:Choice Requires="x15">
      <x15ac:absPath xmlns:x15ac="http://schemas.microsoft.com/office/spreadsheetml/2010/11/ac" url="https://northerndata-my.sharepoint.com/personal/neo_motaung_sambeconsulting_com/Documents/Documents/Timesheets/Neo/"/>
    </mc:Choice>
  </mc:AlternateContent>
  <xr:revisionPtr revIDLastSave="645" documentId="8_{90A6C115-738F-401D-9688-F2F76F1A80DC}" xr6:coauthVersionLast="47" xr6:coauthVersionMax="47" xr10:uidLastSave="{62DFEB7C-F09C-456D-B88E-8C5B8ADB29F3}"/>
  <bookViews>
    <workbookView xWindow="-108" yWindow="-108" windowWidth="23256" windowHeight="12456" firstSheet="1" xr2:uid="{1C8F8026-B005-4B08-94D3-371A77F74D8F}"/>
  </bookViews>
  <sheets>
    <sheet name="Feb" sheetId="5" r:id="rId1"/>
    <sheet name="Expense Claim" sheetId="8" r:id="rId2"/>
    <sheet name="Leave" sheetId="9" r:id="rId3"/>
    <sheet name="Key" sheetId="2" r:id="rId4"/>
  </sheets>
  <definedNames>
    <definedName name="tblTime">TableTime[#All]</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9" i="5" l="1"/>
  <c r="H29" i="5"/>
  <c r="H30" i="5"/>
  <c r="H31" i="5"/>
  <c r="H32" i="5"/>
  <c r="H33" i="5"/>
  <c r="H34" i="5"/>
  <c r="H35" i="5"/>
  <c r="H24" i="5"/>
  <c r="H25" i="5"/>
  <c r="H26" i="5"/>
  <c r="H27" i="5"/>
  <c r="H18" i="5"/>
  <c r="H19" i="5"/>
  <c r="H20" i="5"/>
  <c r="H21" i="5"/>
  <c r="H22" i="5"/>
  <c r="H13" i="5"/>
  <c r="H14" i="5"/>
  <c r="H15" i="5"/>
  <c r="H16" i="5"/>
  <c r="H101" i="5"/>
  <c r="H102" i="5"/>
  <c r="H103" i="5"/>
  <c r="H104" i="5"/>
  <c r="H105" i="5"/>
  <c r="H100" i="5"/>
  <c r="H99" i="5"/>
  <c r="H98" i="5"/>
  <c r="H97" i="5"/>
  <c r="H95" i="5"/>
  <c r="H94" i="5"/>
  <c r="H93" i="5"/>
  <c r="H92" i="5"/>
  <c r="H91" i="5"/>
  <c r="H85" i="5"/>
  <c r="H86" i="5"/>
  <c r="H87" i="5"/>
  <c r="H88" i="5"/>
  <c r="H89" i="5"/>
  <c r="H77" i="5"/>
  <c r="H78" i="5"/>
  <c r="H79" i="5"/>
  <c r="H80" i="5"/>
  <c r="H81" i="5"/>
  <c r="H82" i="5"/>
  <c r="H83" i="5"/>
  <c r="H60" i="5"/>
  <c r="H59" i="5"/>
  <c r="H58" i="5"/>
  <c r="H57" i="5"/>
  <c r="H56" i="5"/>
  <c r="H54" i="5"/>
  <c r="H53" i="5"/>
  <c r="H52" i="5"/>
  <c r="H51" i="5"/>
  <c r="H49" i="5"/>
  <c r="H48" i="5"/>
  <c r="H47" i="5"/>
  <c r="H46" i="5"/>
  <c r="H45" i="5"/>
  <c r="H23" i="5"/>
  <c r="H28" i="5"/>
  <c r="H40" i="5"/>
  <c r="H39" i="5"/>
  <c r="H38" i="5"/>
  <c r="H37" i="5"/>
  <c r="D14" i="9"/>
  <c r="F17" i="8"/>
  <c r="B6" i="8" s="1"/>
  <c r="H12" i="5" l="1"/>
  <c r="F113" i="5" s="1"/>
  <c r="H17" i="5"/>
  <c r="H36" i="5"/>
  <c r="H41" i="5"/>
  <c r="H42" i="5"/>
  <c r="H43" i="5"/>
  <c r="H50" i="5"/>
  <c r="H55" i="5"/>
  <c r="H61" i="5"/>
  <c r="H67" i="5"/>
  <c r="H74" i="5"/>
  <c r="H75" i="5"/>
  <c r="H76" i="5"/>
  <c r="H84" i="5"/>
  <c r="H90" i="5"/>
  <c r="H96" i="5"/>
  <c r="H106" i="5"/>
  <c r="F112" i="5" l="1"/>
  <c r="F109" i="5"/>
  <c r="F114" i="5" l="1"/>
  <c r="B6" i="5"/>
</calcChain>
</file>

<file path=xl/sharedStrings.xml><?xml version="1.0" encoding="utf-8"?>
<sst xmlns="http://schemas.openxmlformats.org/spreadsheetml/2006/main" count="757" uniqueCount="284">
  <si>
    <t>Consultant</t>
  </si>
  <si>
    <t>Neo</t>
  </si>
  <si>
    <t>Total Billable Hours</t>
  </si>
  <si>
    <t>Date</t>
  </si>
  <si>
    <t>D of Week</t>
  </si>
  <si>
    <t>Client</t>
  </si>
  <si>
    <t>Client Project Name</t>
  </si>
  <si>
    <t>Description</t>
  </si>
  <si>
    <t>Billable or Non Billable</t>
  </si>
  <si>
    <t>Comments</t>
  </si>
  <si>
    <t>Total Hours</t>
  </si>
  <si>
    <t>Start Time</t>
  </si>
  <si>
    <t>End Time</t>
  </si>
  <si>
    <t>Friday</t>
  </si>
  <si>
    <t>Internal Sambe</t>
  </si>
  <si>
    <t>Graduate Programme</t>
  </si>
  <si>
    <t>Training</t>
  </si>
  <si>
    <t>Non-Billable</t>
  </si>
  <si>
    <t xml:space="preserve">Meetings with Clement and Bongani Throughout the day, with intermission breaks for research on specific topics included. The topics include Version Control, Coding Standards, Naming Conventions and Documentation. We were also introduced to Confluence and created accounts for future use. </t>
  </si>
  <si>
    <t>Saturday</t>
  </si>
  <si>
    <t>Sunday</t>
  </si>
  <si>
    <t>Monday</t>
  </si>
  <si>
    <t>Meeting</t>
  </si>
  <si>
    <t>Morning start up meeting with Clement, detailing the rest of the graduate programme and what is it that we know about Confluence, VCS's and Git and GitHub</t>
  </si>
  <si>
    <t>Research on Naming Conventions and Documentation</t>
  </si>
  <si>
    <t>Research</t>
  </si>
  <si>
    <t>Research on Coding standards, and more in-depth research on documentation and how documentation might differ for software developers and project managers. We were introduced to Git and Github</t>
  </si>
  <si>
    <t xml:space="preserve">Meeting with Bongani and Clement presenting our research and showing our understanding of the topics. </t>
  </si>
  <si>
    <t>Tuesday</t>
  </si>
  <si>
    <t>Admin</t>
  </si>
  <si>
    <t>Morning roll-call</t>
  </si>
  <si>
    <t>Morning stand up meeting with Clement discussing our well beings and what we have so far with our research</t>
  </si>
  <si>
    <t>Research and practise with Git and GitHub</t>
  </si>
  <si>
    <t>Presenting</t>
  </si>
  <si>
    <t>Some of the graduates were asked to re-do their presentations from the previous high performers meeting with Clement</t>
  </si>
  <si>
    <t xml:space="preserve">More practise with Git and Github, like learning how to create a repo and pushing and pulling to and from GitHub </t>
  </si>
  <si>
    <t>High performers meeting with Bongani and Clement discussing Version Control System, what is the distinction between Git and GitHub and how far we progressed with our practical experience. Bongani gave us the following topics to research: DevOps (in depth), CI/CD, Agile vs waterfall, SCRUM and kanban frameworks</t>
  </si>
  <si>
    <t>Wednesday</t>
  </si>
  <si>
    <t>High performers meeting with Clement. We just discussed our knowledge so far on the given topics and we were asked how we feel about our experiences so far.</t>
  </si>
  <si>
    <t>Research on DevOps and further practise with Git focused on merging, branching and pull requests</t>
  </si>
  <si>
    <t>Research on Agile vs waterfall methodology, SCRUM and Kanban</t>
  </si>
  <si>
    <t>Meeting with Bongani and Clement presenting and answering questions about our understanding of the given topics. Topics such as the methodologies and frameworks were tasked to completion for the next day. We were then split into teams of 5. We were given the following topic as additions that we would be asked about during the next 4 o' clock meeting: SQL vs NoSQL</t>
  </si>
  <si>
    <t>Thursday</t>
  </si>
  <si>
    <t>Morning meeting with Clement to check how we were and our opinions on the experiences so far as well as on the teams. He reminded us that we were to present during a meeting at 11:00</t>
  </si>
  <si>
    <t>Meeting with my team members only, which include Evashen, Sipenathi, Iviwe and Nathalia. We discused our knowledge of the topics so far and how we would coordinate our presentation. We were left with an hour to research the topics just to double check our understanding</t>
  </si>
  <si>
    <t>Research on the topics before presentation</t>
  </si>
  <si>
    <t>My team and three others were chosen to present our understanding on Agile vs Waterfall, SCRUM and Kanban</t>
  </si>
  <si>
    <t>My team had a meeting to discuss Kaizen and finalise a group name</t>
  </si>
  <si>
    <t>Research on SQL and NoSQL databases</t>
  </si>
  <si>
    <t>We discussed what we understood about SQL and NoSQL and their differences. We discussed what structured and unstructured data were. We then concluded the meeting with a brief introduction to Jira</t>
  </si>
  <si>
    <t>High performers daily stand up morning meeting with Clement, checking on our understanding with Jira and going through how to create a SCRUM project, adding tasks and create a sprint.</t>
  </si>
  <si>
    <t>After the meeting concluded, we were instructed to practise with Jira. I created a SCRUM project, made two sprints, created tasks and moved them through different phases of the project (to-do, in-progress and done).</t>
  </si>
  <si>
    <t>We presented what we were capanle of doing in in Jira in a Teams meeting with Clement in our groups.</t>
  </si>
  <si>
    <t>Research on SQL and NoSQL databases, Public and private clouds</t>
  </si>
  <si>
    <t>High performers meeting with Bongani and Clement. Angela joined for the first 10 minutes explaining how we must handle the time sheets and required information. The rest of the meeting was just a general discussion on mental health.</t>
  </si>
  <si>
    <t>Stand up meeting with Clement. Started with a check up and how we felt about the weekend. We were then given a number of tasks: Migrate confluence space to Atlassian team space, create group and personal project within our team, create repo on github, install SQL, Try some SQL statements and research on relation and non-relational databases. Only tasks needed to be done tosay are the ones related to Atlassian and our teams.</t>
  </si>
  <si>
    <t>Migrated my confluence space to my personal confluence space on my team's profile on Atlassian and helped write document used for other teams in case they needed assistance with any of the above tasks</t>
  </si>
  <si>
    <t>Project Management</t>
  </si>
  <si>
    <t>Created public repository with folders under sc-grad GitHub group. Creating folders on github is not straight forward so I had to research on how to create them. Then created personal Jira project.</t>
  </si>
  <si>
    <t>Meeting with Clement used to assist any of those who were confused or needed assistance with the given tasks. Clement went through how to create the project, create tasks and tested automations</t>
  </si>
  <si>
    <t>Pull github repo to local disk and follow tutorial on how to install SQL Server Developer.</t>
  </si>
  <si>
    <t>Afternoon stand up meeting with Bongani and Clement. We were checked on what we have done so far like how our repositories on github looked and told how to format our documentation on Confluence</t>
  </si>
  <si>
    <t xml:space="preserve">Morning stand-up meeting with Clement. We were asked how we were so far and give any updates on our work. </t>
  </si>
  <si>
    <t>Downloaded, installed and set up SQL Server Management Studio to be able to create queries. I created a Database, a table and practised the CRUD operations in separate queries.</t>
  </si>
  <si>
    <t>Documented my work with SQL onto Confluence as a tool for practise. The queries were then pushed and committed to GitHub in my repository under the SQLStatements folder. I updated my progress on Jira under my personal and group projects then I continued with research on OLAP vs OLTP, SQL Data types and Databases.</t>
  </si>
  <si>
    <t xml:space="preserve">Afternoon stand-up meeting with Bongani and Clement. Bongani went through what we needed to have completed by today, then he explained SQL and NoSQL as well as Structured and Unstructured data. We were given the following topics to research: Data warehouses, Data lakes, the types of NoSQL databases in depth. We were also given a link to a SQL tutorial playlist for practise. </t>
  </si>
  <si>
    <t>Morning stand-up meeting with Clement. We were asked how far we have managed to progressed with our work and made sure that we were all able to install SQL. Clement then went through how our personal and team projects should look on Jira as well as linking our Confluence pages to our Jira tasks.</t>
  </si>
  <si>
    <t>Research on OLAP vs OLTP and ELT vs ETL</t>
  </si>
  <si>
    <t>Check up meeting with Clement. Giving an update on our work and how we feel so far. Any issues we had so far were also addressed but most of us did not have any</t>
  </si>
  <si>
    <t xml:space="preserve">Concluded research on OLAP, OLTP, ETL and ELT. Continued research with NoSQL Database types and ACID Properties. Started research on Data lakes and data warehouses. </t>
  </si>
  <si>
    <t>Start-up afternoon meeting with Bongani and Clement. We were asked about how we felt about the work so far. Bongani addressed the less outspoken graduates to contribute and speak out more during the meeting. We then discussed ACID Properties at length and we addressed any technical issues we had with SQL. We were also asked to research Serialization and Deserialization.</t>
  </si>
  <si>
    <t>Morning roll-call, emails</t>
  </si>
  <si>
    <t>Morning meeting with Clement. We were asked about what we did the previous day, our plans for today and any blockers we came across for each person.</t>
  </si>
  <si>
    <t>Concluded my research on Data warehouses and Data lakes</t>
  </si>
  <si>
    <t>Check up meeting with Clement. We were asked about the work we've done so far and how we've been managing our documentation and projects.</t>
  </si>
  <si>
    <t>Research on Serialization and Deserialization. I also continued to watch videos from the SQL playlist and practised on SQL.</t>
  </si>
  <si>
    <t>Afternoon start-up meeting with Bongani and Clement. We discussed OLAP and OLTP at length, trying to understand their differences and use cases. We moved onto what data lakes and data warehouses are, understanding their purposes and differences and addressed any confusions from the graduates.</t>
  </si>
  <si>
    <t>Morning roll-call, email checks and Atlassian platform (Jira and Confluence) check</t>
  </si>
  <si>
    <t xml:space="preserve">Morning stand up meeting with Clement. Bongani was in attendance as he stated that he would not be able to make the afternoon stand up meeting. The graduates and myself stated our plans for today and any blockers we have or may have encountered. </t>
  </si>
  <si>
    <t>Continued watching the SQL tutorial videos in the playlist.</t>
  </si>
  <si>
    <t>One-on-one session with Clement</t>
  </si>
  <si>
    <t>Briefly researched Encryption which was mentioned in the morning meeting</t>
  </si>
  <si>
    <t xml:space="preserve">Completed SQL Tuturial playlist on YouTube. Started researching GitHub actions as instructed. </t>
  </si>
  <si>
    <t>Details TBA</t>
  </si>
  <si>
    <t>Morning roll-call, checking emails and managing any tasks I have.</t>
  </si>
  <si>
    <t xml:space="preserve">Morning stand-up meeting with Clement. We were also given instruction to learn excel fundamentals as well as VLOOKUP, Functions and pivot tables. We were also instructed to go a little further with our SQL, like JOINS, GROUP BY, Sub-queries and aggregations. </t>
  </si>
  <si>
    <t>Continued my research and practised GitHub actions. I began practise with Excel using a youtube video.</t>
  </si>
  <si>
    <t>Continued the tutorial with excel.</t>
  </si>
  <si>
    <t>Meeting with Angela discussing salary and the arrangement with Discovery.</t>
  </si>
  <si>
    <t>Check-in meeting with Clement discussing our issues with GitHub actions and our progress with Excel so far.</t>
  </si>
  <si>
    <t>Concluding the tutorial video with Excel and starting with the SQL Basics.</t>
  </si>
  <si>
    <t>Afternoon stand-up meeting with Clement and Bongani discussing DevOps principles like automation and pipelines. Bongani described what tightly coupled and loosely coupled systems and types of deployment. We were told that for the next afternoon stand up we will be discussing ETL and ELT.</t>
  </si>
  <si>
    <t>Morning roll-call, checking emails and task management.</t>
  </si>
  <si>
    <t>Morning stand-up meeting with Clement. Clement asked what we understood about github actions so far and took us through a little bit about automations in a cloud server using Azure. We were also asked about any blockers and our plans for today.</t>
  </si>
  <si>
    <t>I continued with the work on SQL up to aggregations and sub queries using internet resources like w3schools and chatgpt.</t>
  </si>
  <si>
    <t>Check-in meeting with Clement. He continued to work through the example with automation in Azure but struggled to get through exactly what he wanted due to not having a premium account and some other configuration issues.</t>
  </si>
  <si>
    <t>Started learning sub queries in SQL and I had to find another resource for Excel to refine the things I have learnt so far. I also had to go back to ELT and ETL to prepare for the afternoon stand up meeting and revise my research.</t>
  </si>
  <si>
    <t>Morning roll-call, email checks and task management.</t>
  </si>
  <si>
    <t>Morning stand-up meeting with Clement. He asked the standard stand-up meeting questions like what we did yesterday, what we plan on doing today and what were our blockers.</t>
  </si>
  <si>
    <t>I decided to restart my excel tutorial by using the w3schools Excel tutorial from scratch.</t>
  </si>
  <si>
    <t>Meeting with my group: The N.I.N.E.S. We caught up with each other and discussed our work so far, in particular GitHub actions as we were instructed to have our workflows ready for the afternoon stand up.</t>
  </si>
  <si>
    <t>Briefly went through the w3schools excel tutorial and then focused on developing workflows for github actions.</t>
  </si>
  <si>
    <t>Afternoon stand-up meeting with Bongani and Clement. We went through GitHub actions. A few graduates shared their screen and explained their own workflows. We mainly discussed the issues we encountered as implementing GitHub actions can be quite difficult. Bongani then introduced us to NGROK and told us to try research SQL Server Management Studio to gain administrative excess for next week.</t>
  </si>
  <si>
    <t>Morning roll-call, e-mail checks and task management</t>
  </si>
  <si>
    <t>Morning stand up meeting with Clement going through what we did yesterday, what we will do today and our blockers. We were also told that we should do the IBM excel data analysis course on coursera and how we go about gaining access.</t>
  </si>
  <si>
    <t>Made further progress through the w3schools excess tutorial.</t>
  </si>
  <si>
    <t>Research more on github actions and workflows. Continued with the w3schools tutorial.</t>
  </si>
  <si>
    <t>Afternoon stand-up meeting with Bongani. He initially asked us about how far we have progressed with Excel and checking our repositories on GitHub. He reminded us about how we should format our repositories and how to make descriptive commit messages. We then discussed Cluster computing and Distributed systems at length, their differences and how they are used. We were then told to research them as well as Disaster Recovery.</t>
  </si>
  <si>
    <t>Morning roll-call, e-mail checks and task management.</t>
  </si>
  <si>
    <t>Morning stand-up meeting with Clement. He checked on if we started the IBM course and asked how it felt to those of the graduates who have started it. He then went through how Virtual Machines are set on using Azure.</t>
  </si>
  <si>
    <t>Going further through w3schools excel tutorial.</t>
  </si>
  <si>
    <t>Started excel data analysis coursera course and research on High availability, scripting, distributed systems and clusters.</t>
  </si>
  <si>
    <t>Interview prep meeting with Angela and Shaila for Hollard job shadowing</t>
  </si>
  <si>
    <t>Afternoon stand up meeting with Bongani, details are TBA.</t>
  </si>
  <si>
    <t>Forcasted Hours</t>
  </si>
  <si>
    <t>Forcasted Work Days this month</t>
  </si>
  <si>
    <t>Line Manager :</t>
  </si>
  <si>
    <t>Billable Hours</t>
  </si>
  <si>
    <t>Contractor:</t>
  </si>
  <si>
    <t>Non Billable Hours</t>
  </si>
  <si>
    <t>Total of All Hours</t>
  </si>
  <si>
    <t>Plus: Hours worked, not claimed</t>
  </si>
  <si>
    <t>Example</t>
  </si>
  <si>
    <t>Total Claim</t>
  </si>
  <si>
    <t>Details</t>
  </si>
  <si>
    <t>Month</t>
  </si>
  <si>
    <t>Expense Description</t>
  </si>
  <si>
    <t>Type</t>
  </si>
  <si>
    <t>ZAR COST</t>
  </si>
  <si>
    <t>Vodacom (Example line)</t>
  </si>
  <si>
    <t>Phone</t>
  </si>
  <si>
    <t xml:space="preserve">Do not add the R symbol when capturing the amount. Use the comma not the full stop. </t>
  </si>
  <si>
    <t>MTN (Example line)</t>
  </si>
  <si>
    <t>WiFi / Internet / Data</t>
  </si>
  <si>
    <t>Afrihost (Example line)</t>
  </si>
  <si>
    <t xml:space="preserve">TOTAL </t>
  </si>
  <si>
    <t>Date From</t>
  </si>
  <si>
    <t>Date To</t>
  </si>
  <si>
    <t>Please select applicable Leave and state number of days</t>
  </si>
  <si>
    <t>Type of Leave</t>
  </si>
  <si>
    <t>Start Date</t>
  </si>
  <si>
    <t>End Date</t>
  </si>
  <si>
    <t xml:space="preserve">Number of days </t>
  </si>
  <si>
    <t>Approval Obtained</t>
  </si>
  <si>
    <t>Sick Note</t>
  </si>
  <si>
    <t>Address and Telephone Number during Annual Leave</t>
  </si>
  <si>
    <t>Employee Signature</t>
  </si>
  <si>
    <t>Client Signature</t>
  </si>
  <si>
    <t>Work</t>
  </si>
  <si>
    <t>Resource</t>
  </si>
  <si>
    <t>Billable</t>
  </si>
  <si>
    <t>ADVTech</t>
  </si>
  <si>
    <t>Recording Cvs on Workbook Sheet</t>
  </si>
  <si>
    <t>.NET code</t>
  </si>
  <si>
    <t>Albert</t>
  </si>
  <si>
    <t>AFA Sasfin</t>
  </si>
  <si>
    <t>Placing Cvs in Templates</t>
  </si>
  <si>
    <t>Amanda</t>
  </si>
  <si>
    <t>Artist Proof Studio</t>
  </si>
  <si>
    <t>Screening</t>
  </si>
  <si>
    <t>Analysis</t>
  </si>
  <si>
    <t>Angela</t>
  </si>
  <si>
    <t>Assimil8 - AGA</t>
  </si>
  <si>
    <t>Headhunting</t>
  </si>
  <si>
    <t>Architecture</t>
  </si>
  <si>
    <t>Aubrey</t>
  </si>
  <si>
    <t>Base 3</t>
  </si>
  <si>
    <t>Interviews</t>
  </si>
  <si>
    <t>Avinash</t>
  </si>
  <si>
    <t>C. Steinweg</t>
  </si>
  <si>
    <t>Fixed Assets</t>
  </si>
  <si>
    <t>Configuration</t>
  </si>
  <si>
    <t>Beejal</t>
  </si>
  <si>
    <t>WiFi</t>
  </si>
  <si>
    <t>Conekt AGSA SharePoint</t>
  </si>
  <si>
    <t>Recruitment Work</t>
  </si>
  <si>
    <t>Cubes</t>
  </si>
  <si>
    <t>Bhavesh</t>
  </si>
  <si>
    <t>Conekt – Meridian</t>
  </si>
  <si>
    <t>Team Meeting</t>
  </si>
  <si>
    <t>Database</t>
  </si>
  <si>
    <t>Bihaag</t>
  </si>
  <si>
    <t>Conekt – Altron - AGSA</t>
  </si>
  <si>
    <t>Recruitment team meeting</t>
  </si>
  <si>
    <t>Demo</t>
  </si>
  <si>
    <t>Boaz</t>
  </si>
  <si>
    <t>Yes</t>
  </si>
  <si>
    <t>Conekt – Clientele</t>
  </si>
  <si>
    <t>Deployment</t>
  </si>
  <si>
    <t>Charles</t>
  </si>
  <si>
    <t>No</t>
  </si>
  <si>
    <t>Conekt – Winning Business</t>
  </si>
  <si>
    <t>Design</t>
  </si>
  <si>
    <t>Clement</t>
  </si>
  <si>
    <t>Conekt – Internal Meeting</t>
  </si>
  <si>
    <t>Documentation</t>
  </si>
  <si>
    <t xml:space="preserve">David </t>
  </si>
  <si>
    <t>Dentons</t>
  </si>
  <si>
    <t>Events</t>
  </si>
  <si>
    <t>Diederik</t>
  </si>
  <si>
    <t>Discovery</t>
  </si>
  <si>
    <t>ETL</t>
  </si>
  <si>
    <t>Diptendubala</t>
  </si>
  <si>
    <t>Discovery Information Governance and Security</t>
  </si>
  <si>
    <t>FrontEnd</t>
  </si>
  <si>
    <t>Edmond</t>
  </si>
  <si>
    <t>Discovery Bank</t>
  </si>
  <si>
    <t>Installing</t>
  </si>
  <si>
    <t>Elijah</t>
  </si>
  <si>
    <t>Discovery CSI</t>
  </si>
  <si>
    <t>Elrida</t>
  </si>
  <si>
    <t>Discovery Health</t>
  </si>
  <si>
    <t>Lunch</t>
  </si>
  <si>
    <t>Engelina</t>
  </si>
  <si>
    <t>Discovery People</t>
  </si>
  <si>
    <t>Other</t>
  </si>
  <si>
    <t>Eugene</t>
  </si>
  <si>
    <t xml:space="preserve">Discovery Skills </t>
  </si>
  <si>
    <t>Fayruz</t>
  </si>
  <si>
    <t>Discovery Vitality</t>
  </si>
  <si>
    <t>Hamerl</t>
  </si>
  <si>
    <t>Gyro</t>
  </si>
  <si>
    <t>Ian</t>
  </si>
  <si>
    <t>Healthforce</t>
  </si>
  <si>
    <t>Sales call</t>
  </si>
  <si>
    <t>Joseph</t>
  </si>
  <si>
    <t>KFC Digistics</t>
  </si>
  <si>
    <t>SharePoint</t>
  </si>
  <si>
    <t>Juan</t>
  </si>
  <si>
    <t>Medi-Charge</t>
  </si>
  <si>
    <t>Testing</t>
  </si>
  <si>
    <t>Kanelo</t>
  </si>
  <si>
    <t>MICA Build</t>
  </si>
  <si>
    <t>Travel</t>
  </si>
  <si>
    <t>Kavish</t>
  </si>
  <si>
    <t>Michelin</t>
  </si>
  <si>
    <t>Troubleshooting</t>
  </si>
  <si>
    <t>Lazarus</t>
  </si>
  <si>
    <t>Mistro Foods</t>
  </si>
  <si>
    <t>Waiting on client</t>
  </si>
  <si>
    <t>Lehlohonolo</t>
  </si>
  <si>
    <t>OK Furnitures</t>
  </si>
  <si>
    <t>Website content</t>
  </si>
  <si>
    <t>Lerato</t>
  </si>
  <si>
    <t>Olympic Paints</t>
  </si>
  <si>
    <t>Website and collateral</t>
  </si>
  <si>
    <t>Matsheliso</t>
  </si>
  <si>
    <t>RMB CM Data Warehouse support</t>
  </si>
  <si>
    <t>Annual Leave</t>
  </si>
  <si>
    <t xml:space="preserve">Ndivhudzannyi </t>
  </si>
  <si>
    <t>RMB CORE NRTI</t>
  </si>
  <si>
    <t>Sick leave</t>
  </si>
  <si>
    <t>Paulina</t>
  </si>
  <si>
    <t>RMB Liesha</t>
  </si>
  <si>
    <t>Study Leave</t>
  </si>
  <si>
    <t>Pranav</t>
  </si>
  <si>
    <t>RMB Tumelo</t>
  </si>
  <si>
    <t>Family Responsibility Leave</t>
  </si>
  <si>
    <t>Ravi</t>
  </si>
  <si>
    <t>Sachar Mobile</t>
  </si>
  <si>
    <t>Birthday leave</t>
  </si>
  <si>
    <t>Rivashan</t>
  </si>
  <si>
    <t>SBV</t>
  </si>
  <si>
    <t>Public Holiday</t>
  </si>
  <si>
    <t>Sahur</t>
  </si>
  <si>
    <t>Sibanya</t>
  </si>
  <si>
    <t>Sick Leave - half day</t>
  </si>
  <si>
    <t>Sanele</t>
  </si>
  <si>
    <t>Transport Holdings</t>
  </si>
  <si>
    <t>Sarah</t>
  </si>
  <si>
    <t>Shaila</t>
  </si>
  <si>
    <t>Shaylin</t>
  </si>
  <si>
    <t>Siemon</t>
  </si>
  <si>
    <t>Sonika</t>
  </si>
  <si>
    <t>Tatenda</t>
  </si>
  <si>
    <t>Timothy</t>
  </si>
  <si>
    <t>Tutu</t>
  </si>
  <si>
    <t>Vincent</t>
  </si>
  <si>
    <t>Yazeed</t>
  </si>
  <si>
    <t xml:space="preserve">Yugeshin </t>
  </si>
  <si>
    <t>Zola</t>
  </si>
  <si>
    <t>Karen</t>
  </si>
  <si>
    <t>Nagendra</t>
  </si>
  <si>
    <t>Tyson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</si>
</sst>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h]:mm"/>
    <numFmt numFmtId="165" formatCode="h:mm;@"/>
    <numFmt numFmtId="166" formatCode="_ [$R-1C09]\ * #,##0.00_ ;_ [$R-1C09]\ * \-#,##0.00_ ;_ [$R-1C09]\ * &quot;-&quot;??_ ;_ @_ "/>
    <numFmt numFmtId="167" formatCode="[$R-1C09]#,##0.00;\-[$R-1C09]#,##0.00"/>
  </numFmts>
  <fonts count="21" x14ac:knownFonts="1">
    <font>
      <sz val="11"/>
      <color theme="1"/>
      <name val="Tw Cen MT"/>
      <family val="2"/>
      <scheme val="minor"/>
    </font>
    <font>
      <b/>
      <sz val="11"/>
      <color theme="1"/>
      <name val="Tw Cen MT"/>
      <family val="2"/>
      <scheme val="minor"/>
    </font>
    <font>
      <b/>
      <sz val="10"/>
      <color theme="1"/>
      <name val="Tw Cen MT"/>
      <family val="2"/>
      <scheme val="minor"/>
    </font>
    <font>
      <sz val="10"/>
      <color theme="1"/>
      <name val="Tw Cen MT"/>
      <family val="2"/>
      <scheme val="minor"/>
    </font>
    <font>
      <sz val="10"/>
      <color theme="1"/>
      <name val="Verdana"/>
      <family val="2"/>
    </font>
    <font>
      <b/>
      <sz val="9"/>
      <name val="Tw Cen MT"/>
      <family val="2"/>
      <scheme val="minor"/>
    </font>
    <font>
      <b/>
      <sz val="11"/>
      <name val="Tw Cen MT"/>
      <family val="2"/>
      <scheme val="minor"/>
    </font>
    <font>
      <b/>
      <u/>
      <sz val="9"/>
      <name val="Tw Cen MT"/>
      <family val="2"/>
      <scheme val="minor"/>
    </font>
    <font>
      <b/>
      <sz val="9"/>
      <color indexed="12"/>
      <name val="Tw Cen MT"/>
      <family val="2"/>
      <scheme val="minor"/>
    </font>
    <font>
      <b/>
      <sz val="10"/>
      <name val="Tw Cen MT"/>
      <family val="2"/>
      <scheme val="minor"/>
    </font>
    <font>
      <sz val="8"/>
      <name val="Tw Cen MT"/>
      <family val="2"/>
      <scheme val="minor"/>
    </font>
    <font>
      <sz val="11"/>
      <color theme="1"/>
      <name val="Calibri"/>
      <family val="2"/>
    </font>
    <font>
      <b/>
      <sz val="10"/>
      <color theme="1"/>
      <name val="Verdana"/>
      <family val="2"/>
    </font>
    <font>
      <b/>
      <sz val="10"/>
      <color theme="0"/>
      <name val="Verdana"/>
      <family val="2"/>
    </font>
    <font>
      <b/>
      <sz val="11"/>
      <color theme="0"/>
      <name val="Calibri"/>
      <family val="2"/>
    </font>
    <font>
      <sz val="11"/>
      <color rgb="FF000000"/>
      <name val="Calibri"/>
      <family val="2"/>
    </font>
    <font>
      <b/>
      <u/>
      <sz val="11"/>
      <color theme="1"/>
      <name val="Calibri"/>
      <family val="2"/>
    </font>
    <font>
      <sz val="10"/>
      <color rgb="FF000000"/>
      <name val="Calibri"/>
      <family val="2"/>
    </font>
    <font>
      <sz val="10"/>
      <color theme="1"/>
      <name val="Calibri"/>
      <family val="2"/>
    </font>
    <font>
      <b/>
      <u/>
      <sz val="18"/>
      <color theme="1"/>
      <name val="Verdana"/>
      <family val="2"/>
    </font>
    <font>
      <u/>
      <sz val="10"/>
      <color theme="1"/>
      <name val="Verdana"/>
      <family val="2"/>
    </font>
  </fonts>
  <fills count="14">
    <fill>
      <patternFill patternType="none"/>
    </fill>
    <fill>
      <patternFill patternType="gray125"/>
    </fill>
    <fill>
      <patternFill patternType="solid">
        <fgColor rgb="FF92D050"/>
        <bgColor indexed="64"/>
      </patternFill>
    </fill>
    <fill>
      <patternFill patternType="solid">
        <fgColor theme="3" tint="0.59999389629810485"/>
        <bgColor indexed="64"/>
      </patternFill>
    </fill>
    <fill>
      <patternFill patternType="solid">
        <fgColor theme="4"/>
        <bgColor theme="4"/>
      </patternFill>
    </fill>
    <fill>
      <patternFill patternType="solid">
        <fgColor theme="0" tint="-0.14999847407452621"/>
        <bgColor indexed="64"/>
      </patternFill>
    </fill>
    <fill>
      <patternFill patternType="solid">
        <fgColor theme="0"/>
        <bgColor indexed="64"/>
      </patternFill>
    </fill>
    <fill>
      <patternFill patternType="solid">
        <fgColor rgb="FFFFFFFF"/>
        <bgColor indexed="64"/>
      </patternFill>
    </fill>
    <fill>
      <patternFill patternType="solid">
        <fgColor rgb="FFDCE6F1"/>
        <bgColor indexed="64"/>
      </patternFill>
    </fill>
    <fill>
      <patternFill patternType="solid">
        <fgColor rgb="FFFFFFFF"/>
        <bgColor rgb="FFFFFFFF"/>
      </patternFill>
    </fill>
    <fill>
      <patternFill patternType="solid">
        <fgColor rgb="FFFFFF00"/>
        <bgColor indexed="64"/>
      </patternFill>
    </fill>
    <fill>
      <patternFill patternType="solid">
        <fgColor theme="4" tint="0.79998168889431442"/>
        <bgColor theme="4" tint="0.79998168889431442"/>
      </patternFill>
    </fill>
    <fill>
      <patternFill patternType="solid">
        <fgColor rgb="FFD8D8D8"/>
        <bgColor rgb="FFD8D8D8"/>
      </patternFill>
    </fill>
    <fill>
      <patternFill patternType="solid">
        <fgColor theme="4"/>
        <bgColor indexed="64"/>
      </patternFill>
    </fill>
  </fills>
  <borders count="46">
    <border>
      <left/>
      <right/>
      <top/>
      <bottom/>
      <diagonal/>
    </border>
    <border>
      <left style="medium">
        <color auto="1"/>
      </left>
      <right/>
      <top style="medium">
        <color auto="1"/>
      </top>
      <bottom/>
      <diagonal/>
    </border>
    <border>
      <left/>
      <right/>
      <top style="medium">
        <color auto="1"/>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style="medium">
        <color auto="1"/>
      </right>
      <top style="medium">
        <color auto="1"/>
      </top>
      <bottom/>
      <diagonal/>
    </border>
    <border>
      <left/>
      <right style="medium">
        <color indexed="64"/>
      </right>
      <top/>
      <bottom/>
      <diagonal/>
    </border>
    <border>
      <left style="medium">
        <color indexed="64"/>
      </left>
      <right/>
      <top/>
      <bottom/>
      <diagonal/>
    </border>
    <border>
      <left style="medium">
        <color theme="3"/>
      </left>
      <right style="medium">
        <color theme="3"/>
      </right>
      <top style="medium">
        <color theme="3"/>
      </top>
      <bottom style="medium">
        <color theme="3"/>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thin">
        <color theme="4" tint="0.39997558519241921"/>
      </left>
      <right style="thin">
        <color theme="4" tint="0.39997558519241921"/>
      </right>
      <top style="thin">
        <color theme="4" tint="0.39997558519241921"/>
      </top>
      <bottom style="thin">
        <color theme="4" tint="0.39997558519241921"/>
      </bottom>
      <diagonal/>
    </border>
    <border>
      <left/>
      <right/>
      <top style="medium">
        <color rgb="FF4D90FE"/>
      </top>
      <bottom/>
      <diagonal/>
    </border>
    <border>
      <left/>
      <right style="medium">
        <color rgb="FF4D90FE"/>
      </right>
      <top/>
      <bottom/>
      <diagonal/>
    </border>
    <border>
      <left/>
      <right style="medium">
        <color theme="3"/>
      </right>
      <top style="medium">
        <color theme="3"/>
      </top>
      <bottom style="medium">
        <color theme="3"/>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right style="medium">
        <color indexed="64"/>
      </right>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top style="medium">
        <color indexed="64"/>
      </top>
      <bottom style="medium">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rgb="FF000000"/>
      </left>
      <right style="thin">
        <color rgb="FF000000"/>
      </right>
      <top style="thin">
        <color rgb="FF000000"/>
      </top>
      <bottom style="thin">
        <color rgb="FF000000"/>
      </bottom>
      <diagonal/>
    </border>
    <border>
      <left/>
      <right/>
      <top/>
      <bottom style="thin">
        <color theme="3"/>
      </bottom>
      <diagonal/>
    </border>
    <border>
      <left style="medium">
        <color rgb="FF000000"/>
      </left>
      <right style="medium">
        <color rgb="FF000000"/>
      </right>
      <top style="medium">
        <color rgb="FFCCCCCC"/>
      </top>
      <bottom style="medium">
        <color rgb="FF000000"/>
      </bottom>
      <diagonal/>
    </border>
    <border>
      <left style="thin">
        <color rgb="FF000000"/>
      </left>
      <right style="thin">
        <color rgb="FF000000"/>
      </right>
      <top style="thin">
        <color rgb="FF000000"/>
      </top>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right/>
      <top style="thin">
        <color theme="4" tint="0.39997558519241921"/>
      </top>
      <bottom style="thin">
        <color indexed="64"/>
      </bottom>
      <diagonal/>
    </border>
    <border>
      <left style="thin">
        <color theme="4" tint="0.39997558519241921"/>
      </left>
      <right/>
      <top/>
      <bottom style="thin">
        <color theme="4" tint="0.39997558519241921"/>
      </bottom>
      <diagonal/>
    </border>
    <border>
      <left/>
      <right/>
      <top/>
      <bottom style="thin">
        <color theme="4" tint="0.39997558519241921"/>
      </bottom>
      <diagonal/>
    </border>
    <border>
      <left/>
      <right style="thin">
        <color theme="4" tint="0.39997558519241921"/>
      </right>
      <top/>
      <bottom style="thin">
        <color theme="4" tint="0.39997558519241921"/>
      </bottom>
      <diagonal/>
    </border>
  </borders>
  <cellStyleXfs count="1">
    <xf numFmtId="0" fontId="0" fillId="0" borderId="0"/>
  </cellStyleXfs>
  <cellXfs count="141">
    <xf numFmtId="0" fontId="0" fillId="0" borderId="0" xfId="0"/>
    <xf numFmtId="0" fontId="3" fillId="0" borderId="0" xfId="0" applyFont="1"/>
    <xf numFmtId="0" fontId="5" fillId="0" borderId="0" xfId="0" applyFont="1"/>
    <xf numFmtId="164" fontId="5" fillId="0" borderId="0" xfId="0" applyNumberFormat="1" applyFont="1"/>
    <xf numFmtId="0" fontId="5" fillId="0" borderId="0" xfId="0" applyFont="1" applyAlignment="1">
      <alignment horizontal="right"/>
    </xf>
    <xf numFmtId="0" fontId="3" fillId="0" borderId="1" xfId="0" applyFont="1" applyBorder="1"/>
    <xf numFmtId="0" fontId="2" fillId="0" borderId="8" xfId="0" applyFont="1" applyBorder="1" applyAlignment="1">
      <alignment horizontal="right" wrapText="1"/>
    </xf>
    <xf numFmtId="20" fontId="5" fillId="0" borderId="0" xfId="0" applyNumberFormat="1" applyFont="1"/>
    <xf numFmtId="0" fontId="3" fillId="0" borderId="3" xfId="0" applyFont="1" applyBorder="1"/>
    <xf numFmtId="0" fontId="3" fillId="0" borderId="5" xfId="0" applyFont="1" applyBorder="1" applyAlignment="1">
      <alignment horizontal="right" wrapText="1"/>
    </xf>
    <xf numFmtId="49" fontId="5" fillId="0" borderId="0" xfId="0" applyNumberFormat="1" applyFont="1" applyAlignment="1">
      <alignment vertical="top"/>
    </xf>
    <xf numFmtId="0" fontId="7" fillId="0" borderId="0" xfId="0" applyFont="1" applyAlignment="1">
      <alignment horizontal="left" vertical="top"/>
    </xf>
    <xf numFmtId="0" fontId="1" fillId="0" borderId="1" xfId="0" applyFont="1" applyBorder="1"/>
    <xf numFmtId="164" fontId="3" fillId="0" borderId="8" xfId="0" applyNumberFormat="1" applyFont="1" applyBorder="1" applyAlignment="1">
      <alignment horizontal="right" wrapText="1"/>
    </xf>
    <xf numFmtId="49" fontId="8" fillId="0" borderId="9" xfId="0" applyNumberFormat="1" applyFont="1" applyBorder="1" applyAlignment="1">
      <alignment vertical="top"/>
    </xf>
    <xf numFmtId="0" fontId="1" fillId="0" borderId="10" xfId="0" applyFont="1" applyBorder="1"/>
    <xf numFmtId="164" fontId="3" fillId="0" borderId="9" xfId="0" applyNumberFormat="1" applyFont="1" applyBorder="1" applyAlignment="1">
      <alignment horizontal="right" wrapText="1"/>
    </xf>
    <xf numFmtId="0" fontId="1" fillId="0" borderId="11" xfId="0" applyFont="1" applyBorder="1"/>
    <xf numFmtId="0" fontId="9" fillId="0" borderId="12" xfId="0" applyFont="1" applyBorder="1" applyAlignment="1">
      <alignment horizontal="left"/>
    </xf>
    <xf numFmtId="0" fontId="3" fillId="0" borderId="13" xfId="0" applyFont="1" applyBorder="1" applyAlignment="1">
      <alignment wrapText="1"/>
    </xf>
    <xf numFmtId="14" fontId="4" fillId="0" borderId="6" xfId="0" applyNumberFormat="1" applyFont="1" applyBorder="1"/>
    <xf numFmtId="0" fontId="4" fillId="0" borderId="0" xfId="0" applyFont="1"/>
    <xf numFmtId="0" fontId="4" fillId="0" borderId="6" xfId="0" applyFont="1" applyBorder="1"/>
    <xf numFmtId="0" fontId="4" fillId="0" borderId="6" xfId="0" applyFont="1" applyBorder="1" applyAlignment="1">
      <alignment wrapText="1"/>
    </xf>
    <xf numFmtId="165" fontId="4" fillId="0" borderId="6" xfId="0" applyNumberFormat="1" applyFont="1" applyBorder="1"/>
    <xf numFmtId="165" fontId="4" fillId="0" borderId="6" xfId="0" applyNumberFormat="1" applyFont="1" applyBorder="1" applyAlignment="1">
      <alignment wrapText="1"/>
    </xf>
    <xf numFmtId="14" fontId="4" fillId="3" borderId="6" xfId="0" applyNumberFormat="1" applyFont="1" applyFill="1" applyBorder="1"/>
    <xf numFmtId="0" fontId="4" fillId="3" borderId="6" xfId="0" applyFont="1" applyFill="1" applyBorder="1"/>
    <xf numFmtId="0" fontId="4" fillId="3" borderId="6" xfId="0" applyFont="1" applyFill="1" applyBorder="1" applyAlignment="1">
      <alignment wrapText="1"/>
    </xf>
    <xf numFmtId="165" fontId="4" fillId="3" borderId="6" xfId="0" applyNumberFormat="1" applyFont="1" applyFill="1" applyBorder="1"/>
    <xf numFmtId="165" fontId="4" fillId="3" borderId="6" xfId="0" applyNumberFormat="1" applyFont="1" applyFill="1" applyBorder="1" applyAlignment="1">
      <alignment wrapText="1"/>
    </xf>
    <xf numFmtId="165" fontId="12" fillId="0" borderId="0" xfId="0" applyNumberFormat="1" applyFont="1"/>
    <xf numFmtId="0" fontId="12" fillId="0" borderId="0" xfId="0" applyFont="1"/>
    <xf numFmtId="164" fontId="4" fillId="0" borderId="0" xfId="0" applyNumberFormat="1" applyFont="1"/>
    <xf numFmtId="0" fontId="4" fillId="0" borderId="13" xfId="0" applyFont="1" applyBorder="1" applyAlignment="1">
      <alignment wrapText="1"/>
    </xf>
    <xf numFmtId="0" fontId="4" fillId="0" borderId="0" xfId="0" applyFont="1" applyAlignment="1">
      <alignment wrapText="1"/>
    </xf>
    <xf numFmtId="0" fontId="4" fillId="0" borderId="0" xfId="0" applyFont="1" applyAlignment="1">
      <alignment horizontal="left"/>
    </xf>
    <xf numFmtId="164" fontId="3" fillId="0" borderId="17" xfId="0" applyNumberFormat="1" applyFont="1" applyBorder="1" applyAlignment="1">
      <alignment wrapText="1"/>
    </xf>
    <xf numFmtId="0" fontId="2" fillId="0" borderId="0" xfId="0" applyFont="1"/>
    <xf numFmtId="14" fontId="4" fillId="0" borderId="0" xfId="0" applyNumberFormat="1" applyFont="1"/>
    <xf numFmtId="0" fontId="11" fillId="0" borderId="0" xfId="0" applyFont="1"/>
    <xf numFmtId="0" fontId="14" fillId="4" borderId="14" xfId="0" applyFont="1" applyFill="1" applyBorder="1"/>
    <xf numFmtId="0" fontId="11" fillId="0" borderId="14" xfId="0" applyFont="1" applyBorder="1"/>
    <xf numFmtId="0" fontId="15" fillId="8" borderId="15" xfId="0" applyFont="1" applyFill="1" applyBorder="1"/>
    <xf numFmtId="0" fontId="15" fillId="7" borderId="16" xfId="0" applyFont="1" applyFill="1" applyBorder="1"/>
    <xf numFmtId="0" fontId="15" fillId="7" borderId="0" xfId="0" applyFont="1" applyFill="1"/>
    <xf numFmtId="0" fontId="15" fillId="8" borderId="16" xfId="0" applyFont="1" applyFill="1" applyBorder="1"/>
    <xf numFmtId="0" fontId="15" fillId="8" borderId="0" xfId="0" applyFont="1" applyFill="1"/>
    <xf numFmtId="0" fontId="16" fillId="0" borderId="0" xfId="0" applyFont="1" applyAlignment="1">
      <alignment vertical="center"/>
    </xf>
    <xf numFmtId="0" fontId="11" fillId="0" borderId="0" xfId="0" applyFont="1" applyAlignment="1">
      <alignment vertical="center"/>
    </xf>
    <xf numFmtId="0" fontId="15" fillId="7" borderId="0" xfId="0" applyFont="1" applyFill="1" applyProtection="1">
      <protection locked="0"/>
    </xf>
    <xf numFmtId="0" fontId="15" fillId="8" borderId="0" xfId="0" applyFont="1" applyFill="1" applyProtection="1">
      <protection locked="0"/>
    </xf>
    <xf numFmtId="0" fontId="11" fillId="0" borderId="0" xfId="0" applyFont="1" applyProtection="1">
      <protection locked="0"/>
    </xf>
    <xf numFmtId="0" fontId="11" fillId="0" borderId="36" xfId="0" applyFont="1" applyBorder="1"/>
    <xf numFmtId="0" fontId="15" fillId="0" borderId="25" xfId="0" applyFont="1" applyBorder="1" applyAlignment="1">
      <alignment horizontal="left"/>
    </xf>
    <xf numFmtId="0" fontId="15" fillId="0" borderId="6" xfId="0" applyFont="1" applyBorder="1" applyAlignment="1">
      <alignment horizontal="left"/>
    </xf>
    <xf numFmtId="0" fontId="15" fillId="9" borderId="7" xfId="0" applyFont="1" applyFill="1" applyBorder="1" applyAlignment="1">
      <alignment horizontal="left"/>
    </xf>
    <xf numFmtId="0" fontId="15" fillId="8" borderId="37" xfId="0" applyFont="1" applyFill="1" applyBorder="1" applyAlignment="1">
      <alignment wrapText="1"/>
    </xf>
    <xf numFmtId="0" fontId="15" fillId="0" borderId="37" xfId="0" applyFont="1" applyBorder="1" applyAlignment="1">
      <alignment wrapText="1"/>
    </xf>
    <xf numFmtId="0" fontId="15" fillId="7" borderId="37" xfId="0" applyFont="1" applyFill="1" applyBorder="1" applyAlignment="1">
      <alignment wrapText="1"/>
    </xf>
    <xf numFmtId="0" fontId="15" fillId="0" borderId="37" xfId="0" applyFont="1" applyBorder="1" applyAlignment="1">
      <alignment horizontal="left"/>
    </xf>
    <xf numFmtId="165" fontId="4" fillId="0" borderId="0" xfId="0" applyNumberFormat="1" applyFont="1"/>
    <xf numFmtId="0" fontId="17" fillId="12" borderId="35" xfId="0" applyFont="1" applyFill="1" applyBorder="1" applyAlignment="1">
      <alignment horizontal="left" wrapText="1" readingOrder="1"/>
    </xf>
    <xf numFmtId="0" fontId="17" fillId="0" borderId="35" xfId="0" applyFont="1" applyBorder="1" applyAlignment="1">
      <alignment horizontal="left"/>
    </xf>
    <xf numFmtId="0" fontId="17" fillId="0" borderId="35" xfId="0" applyFont="1" applyBorder="1"/>
    <xf numFmtId="0" fontId="18" fillId="0" borderId="35" xfId="0" applyFont="1" applyBorder="1" applyAlignment="1">
      <alignment vertical="center"/>
    </xf>
    <xf numFmtId="0" fontId="17" fillId="0" borderId="38" xfId="0" applyFont="1" applyBorder="1"/>
    <xf numFmtId="0" fontId="17" fillId="0" borderId="38" xfId="0" applyFont="1" applyBorder="1" applyAlignment="1">
      <alignment horizontal="left"/>
    </xf>
    <xf numFmtId="0" fontId="17" fillId="0" borderId="25" xfId="0" applyFont="1" applyBorder="1" applyAlignment="1">
      <alignment horizontal="left"/>
    </xf>
    <xf numFmtId="0" fontId="17" fillId="0" borderId="6" xfId="0" applyFont="1" applyBorder="1" applyAlignment="1">
      <alignment horizontal="left"/>
    </xf>
    <xf numFmtId="0" fontId="17" fillId="0" borderId="6" xfId="0" applyFont="1" applyBorder="1"/>
    <xf numFmtId="0" fontId="17" fillId="0" borderId="25" xfId="0" applyFont="1" applyBorder="1"/>
    <xf numFmtId="0" fontId="11" fillId="11" borderId="14" xfId="0" applyFont="1" applyFill="1" applyBorder="1"/>
    <xf numFmtId="164" fontId="4" fillId="2" borderId="0" xfId="0" applyNumberFormat="1" applyFont="1" applyFill="1" applyAlignment="1">
      <alignment wrapText="1"/>
    </xf>
    <xf numFmtId="14" fontId="4" fillId="0" borderId="10" xfId="0" applyNumberFormat="1" applyFont="1" applyBorder="1" applyAlignment="1">
      <alignment horizontal="right" vertical="center"/>
    </xf>
    <xf numFmtId="0" fontId="4" fillId="0" borderId="0" xfId="0" applyFont="1" applyAlignment="1">
      <alignment horizontal="left" vertical="center"/>
    </xf>
    <xf numFmtId="0" fontId="12" fillId="6" borderId="0" xfId="0" applyFont="1" applyFill="1" applyAlignment="1">
      <alignment horizontal="right" vertical="center"/>
    </xf>
    <xf numFmtId="166" fontId="12" fillId="5" borderId="21" xfId="0" applyNumberFormat="1" applyFont="1" applyFill="1" applyBorder="1" applyAlignment="1">
      <alignment horizontal="center" vertical="center"/>
    </xf>
    <xf numFmtId="167" fontId="4" fillId="0" borderId="24" xfId="0" applyNumberFormat="1" applyFont="1" applyBorder="1" applyAlignment="1">
      <alignment horizontal="center" vertical="center"/>
    </xf>
    <xf numFmtId="17" fontId="4" fillId="0" borderId="22" xfId="0" applyNumberFormat="1" applyFont="1" applyBorder="1" applyAlignment="1">
      <alignment horizontal="right" vertical="center"/>
    </xf>
    <xf numFmtId="0" fontId="12" fillId="0" borderId="0" xfId="0" applyFont="1" applyAlignment="1">
      <alignment vertical="center"/>
    </xf>
    <xf numFmtId="0" fontId="19" fillId="0" borderId="0" xfId="0" applyFont="1" applyAlignment="1">
      <alignment vertical="center"/>
    </xf>
    <xf numFmtId="166" fontId="4" fillId="2" borderId="0" xfId="0" applyNumberFormat="1" applyFont="1" applyFill="1" applyAlignment="1">
      <alignment vertical="center"/>
    </xf>
    <xf numFmtId="0" fontId="4" fillId="5" borderId="39" xfId="0" applyFont="1" applyFill="1" applyBorder="1" applyAlignment="1">
      <alignment horizontal="center" vertical="center"/>
    </xf>
    <xf numFmtId="166" fontId="4" fillId="5" borderId="5" xfId="0" applyNumberFormat="1" applyFont="1" applyFill="1" applyBorder="1" applyAlignment="1">
      <alignment horizontal="center" vertical="center"/>
    </xf>
    <xf numFmtId="0" fontId="4" fillId="0" borderId="0" xfId="0" applyFont="1" applyAlignment="1">
      <alignment vertical="center"/>
    </xf>
    <xf numFmtId="0" fontId="4" fillId="0" borderId="0" xfId="0" applyFont="1" applyAlignment="1">
      <alignment vertical="center" wrapText="1"/>
    </xf>
    <xf numFmtId="14" fontId="4" fillId="0" borderId="0" xfId="0" applyNumberFormat="1" applyFont="1" applyAlignment="1">
      <alignment vertical="center"/>
    </xf>
    <xf numFmtId="0" fontId="4" fillId="0" borderId="6" xfId="0" applyFont="1" applyBorder="1" applyAlignment="1">
      <alignment horizontal="center" vertical="center" wrapText="1"/>
    </xf>
    <xf numFmtId="0" fontId="4" fillId="0" borderId="12" xfId="0" applyFont="1" applyBorder="1" applyAlignment="1">
      <alignment horizontal="center" vertical="center" wrapText="1"/>
    </xf>
    <xf numFmtId="0" fontId="4" fillId="0" borderId="31" xfId="0" applyFont="1" applyBorder="1" applyAlignment="1">
      <alignment horizontal="center" vertical="center" wrapText="1"/>
    </xf>
    <xf numFmtId="0" fontId="12" fillId="0" borderId="31" xfId="0" applyFont="1" applyBorder="1" applyAlignment="1">
      <alignment horizontal="center" vertical="center" wrapText="1"/>
    </xf>
    <xf numFmtId="0" fontId="4" fillId="0" borderId="21" xfId="0" applyFont="1" applyBorder="1" applyAlignment="1">
      <alignment horizontal="center" vertical="center" wrapText="1"/>
    </xf>
    <xf numFmtId="0" fontId="4" fillId="0" borderId="26" xfId="0" applyFont="1" applyBorder="1"/>
    <xf numFmtId="0" fontId="4" fillId="0" borderId="28" xfId="0" applyFont="1" applyBorder="1"/>
    <xf numFmtId="0" fontId="4" fillId="0" borderId="29" xfId="0" applyFont="1" applyBorder="1"/>
    <xf numFmtId="0" fontId="12" fillId="0" borderId="0" xfId="0" applyFont="1" applyAlignment="1">
      <alignment vertical="center" wrapText="1"/>
    </xf>
    <xf numFmtId="0" fontId="4" fillId="0" borderId="10" xfId="0" applyFont="1" applyBorder="1" applyAlignment="1">
      <alignment vertical="center" wrapText="1"/>
    </xf>
    <xf numFmtId="20" fontId="4" fillId="3" borderId="6" xfId="0" applyNumberFormat="1" applyFont="1" applyFill="1" applyBorder="1" applyAlignment="1">
      <alignment wrapText="1"/>
    </xf>
    <xf numFmtId="0" fontId="13" fillId="4" borderId="43" xfId="0" applyFont="1" applyFill="1" applyBorder="1"/>
    <xf numFmtId="0" fontId="13" fillId="4" borderId="44" xfId="0" applyFont="1" applyFill="1" applyBorder="1"/>
    <xf numFmtId="0" fontId="13" fillId="4" borderId="44" xfId="0" applyFont="1" applyFill="1" applyBorder="1" applyAlignment="1">
      <alignment wrapText="1"/>
    </xf>
    <xf numFmtId="0" fontId="13" fillId="4" borderId="44" xfId="0" applyFont="1" applyFill="1" applyBorder="1" applyAlignment="1">
      <alignment horizontal="center" wrapText="1"/>
    </xf>
    <xf numFmtId="0" fontId="13" fillId="4" borderId="45" xfId="0" applyFont="1" applyFill="1" applyBorder="1" applyAlignment="1">
      <alignment horizontal="center" wrapText="1"/>
    </xf>
    <xf numFmtId="14" fontId="4" fillId="0" borderId="25" xfId="0" applyNumberFormat="1" applyFont="1" applyBorder="1"/>
    <xf numFmtId="0" fontId="4" fillId="0" borderId="25" xfId="0" applyFont="1" applyBorder="1"/>
    <xf numFmtId="0" fontId="4" fillId="0" borderId="25" xfId="0" applyFont="1" applyBorder="1" applyAlignment="1">
      <alignment wrapText="1"/>
    </xf>
    <xf numFmtId="165" fontId="4" fillId="0" borderId="25" xfId="0" applyNumberFormat="1" applyFont="1" applyBorder="1"/>
    <xf numFmtId="165" fontId="4" fillId="0" borderId="25" xfId="0" applyNumberFormat="1" applyFont="1" applyBorder="1" applyAlignment="1">
      <alignment wrapText="1"/>
    </xf>
    <xf numFmtId="49" fontId="6" fillId="0" borderId="4" xfId="0" applyNumberFormat="1" applyFont="1" applyBorder="1" applyAlignment="1">
      <alignment horizontal="left" vertical="top"/>
    </xf>
    <xf numFmtId="0" fontId="6" fillId="0" borderId="4" xfId="0" applyFont="1" applyBorder="1" applyAlignment="1">
      <alignment horizontal="left" vertical="top" wrapText="1"/>
    </xf>
    <xf numFmtId="0" fontId="4" fillId="10" borderId="10" xfId="0" applyFont="1" applyFill="1" applyBorder="1" applyAlignment="1">
      <alignment horizontal="center"/>
    </xf>
    <xf numFmtId="0" fontId="4" fillId="10" borderId="0" xfId="0" applyFont="1" applyFill="1" applyAlignment="1">
      <alignment horizontal="center"/>
    </xf>
    <xf numFmtId="0" fontId="4" fillId="5" borderId="40" xfId="0" applyFont="1" applyFill="1" applyBorder="1" applyAlignment="1">
      <alignment horizontal="center" vertical="center"/>
    </xf>
    <xf numFmtId="0" fontId="4" fillId="5" borderId="41" xfId="0" applyFont="1" applyFill="1" applyBorder="1" applyAlignment="1">
      <alignment horizontal="center" vertical="center"/>
    </xf>
    <xf numFmtId="0" fontId="4" fillId="0" borderId="23" xfId="0" applyFont="1" applyBorder="1" applyAlignment="1">
      <alignment horizontal="left" vertical="center"/>
    </xf>
    <xf numFmtId="0" fontId="13" fillId="13" borderId="0" xfId="0" applyFont="1" applyFill="1" applyAlignment="1">
      <alignment horizontal="center" vertical="center"/>
    </xf>
    <xf numFmtId="0" fontId="4" fillId="0" borderId="18" xfId="0" applyFont="1" applyBorder="1" applyAlignment="1">
      <alignment horizontal="left" vertical="center"/>
    </xf>
    <xf numFmtId="0" fontId="4" fillId="0" borderId="19" xfId="0" applyFont="1" applyBorder="1" applyAlignment="1">
      <alignment horizontal="left" vertical="center"/>
    </xf>
    <xf numFmtId="0" fontId="12" fillId="5" borderId="12" xfId="0" applyFont="1" applyFill="1" applyBorder="1" applyAlignment="1">
      <alignment horizontal="left" vertical="center"/>
    </xf>
    <xf numFmtId="0" fontId="12" fillId="5" borderId="31" xfId="0" applyFont="1" applyFill="1" applyBorder="1" applyAlignment="1">
      <alignment horizontal="left" vertical="center"/>
    </xf>
    <xf numFmtId="0" fontId="12" fillId="5" borderId="20" xfId="0" applyFont="1" applyFill="1" applyBorder="1" applyAlignment="1">
      <alignment horizontal="left" vertical="center"/>
    </xf>
    <xf numFmtId="0" fontId="4" fillId="0" borderId="18" xfId="0" applyFont="1" applyBorder="1" applyAlignment="1">
      <alignment horizontal="center" vertical="center"/>
    </xf>
    <xf numFmtId="0" fontId="4" fillId="0" borderId="19" xfId="0" applyFont="1" applyBorder="1" applyAlignment="1">
      <alignment horizontal="center" vertical="center"/>
    </xf>
    <xf numFmtId="0" fontId="12" fillId="0" borderId="0" xfId="0" applyFont="1" applyAlignment="1">
      <alignment vertical="center" wrapText="1"/>
    </xf>
    <xf numFmtId="0" fontId="4" fillId="0" borderId="10" xfId="0" applyFont="1" applyBorder="1" applyAlignment="1">
      <alignment horizontal="center" vertical="center" wrapText="1"/>
    </xf>
    <xf numFmtId="0" fontId="4" fillId="0" borderId="0" xfId="0" applyFont="1" applyAlignment="1">
      <alignment horizontal="center" vertical="center" wrapText="1"/>
    </xf>
    <xf numFmtId="0" fontId="4" fillId="0" borderId="9"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4" fillId="0" borderId="5" xfId="0" applyFont="1" applyBorder="1" applyAlignment="1">
      <alignment horizontal="center" vertical="center" wrapText="1"/>
    </xf>
    <xf numFmtId="0" fontId="4" fillId="0" borderId="27" xfId="0" applyFont="1" applyBorder="1" applyAlignment="1">
      <alignment horizontal="center"/>
    </xf>
    <xf numFmtId="0" fontId="4" fillId="0" borderId="32" xfId="0" applyFont="1" applyBorder="1" applyAlignment="1">
      <alignment horizontal="center"/>
    </xf>
    <xf numFmtId="0" fontId="4" fillId="0" borderId="6" xfId="0" applyFont="1" applyBorder="1" applyAlignment="1">
      <alignment horizontal="center"/>
    </xf>
    <xf numFmtId="0" fontId="4" fillId="0" borderId="33" xfId="0" applyFont="1" applyBorder="1" applyAlignment="1">
      <alignment horizontal="center"/>
    </xf>
    <xf numFmtId="0" fontId="4" fillId="0" borderId="30" xfId="0" applyFont="1" applyBorder="1" applyAlignment="1">
      <alignment horizontal="center"/>
    </xf>
    <xf numFmtId="0" fontId="4" fillId="0" borderId="34" xfId="0" applyFont="1" applyBorder="1" applyAlignment="1">
      <alignment horizontal="center"/>
    </xf>
    <xf numFmtId="0" fontId="13" fillId="4" borderId="42" xfId="0" applyFont="1" applyFill="1" applyBorder="1" applyAlignment="1">
      <alignment horizontal="center" vertical="center"/>
    </xf>
    <xf numFmtId="0" fontId="20" fillId="0" borderId="1" xfId="0" applyFont="1" applyBorder="1" applyAlignment="1">
      <alignment horizontal="center" vertical="center" wrapText="1"/>
    </xf>
    <xf numFmtId="0" fontId="20" fillId="0" borderId="2" xfId="0" applyFont="1" applyBorder="1" applyAlignment="1">
      <alignment horizontal="center" vertical="center" wrapText="1"/>
    </xf>
    <xf numFmtId="0" fontId="20" fillId="0" borderId="8" xfId="0" applyFont="1" applyBorder="1" applyAlignment="1">
      <alignment horizontal="center" vertical="center" wrapText="1"/>
    </xf>
  </cellXfs>
  <cellStyles count="1">
    <cellStyle name="Normal" xfId="0" builtinId="0"/>
  </cellStyles>
  <dxfs count="36">
    <dxf>
      <fill>
        <patternFill>
          <bgColor rgb="FF92D050"/>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3" tint="0.59996337778862885"/>
        </patternFill>
      </fill>
    </dxf>
    <dxf>
      <fill>
        <patternFill>
          <bgColor theme="3" tint="0.59996337778862885"/>
        </patternFill>
      </fill>
    </dxf>
    <dxf>
      <fill>
        <patternFill>
          <bgColor rgb="FF92D050"/>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ont>
        <b val="0"/>
        <i val="0"/>
        <strike val="0"/>
        <condense val="0"/>
        <extend val="0"/>
        <outline val="0"/>
        <shadow val="0"/>
        <u val="none"/>
        <vertAlign val="baseline"/>
        <sz val="11"/>
        <color rgb="FF000000"/>
        <name val="Calibri"/>
        <family val="2"/>
        <scheme val="none"/>
      </font>
      <fill>
        <patternFill patternType="solid">
          <fgColor indexed="64"/>
          <bgColor rgb="FFDCE6F1"/>
        </patternFill>
      </fill>
      <border diagonalUp="0" diagonalDown="0" outline="0">
        <left style="thin">
          <color theme="4" tint="0.39997558519241921"/>
        </left>
        <right style="thin">
          <color theme="4" tint="0.39997558519241921"/>
        </right>
        <top style="thin">
          <color theme="4" tint="0.39997558519241921"/>
        </top>
        <bottom style="thin">
          <color theme="4" tint="0.39997558519241921"/>
        </bottom>
      </border>
    </dxf>
    <dxf>
      <border outline="0">
        <bottom style="thin">
          <color theme="4" tint="0.39997558519241921"/>
        </bottom>
      </border>
    </dxf>
    <dxf>
      <font>
        <b val="0"/>
        <i val="0"/>
        <strike val="0"/>
        <condense val="0"/>
        <extend val="0"/>
        <outline val="0"/>
        <shadow val="0"/>
        <u val="none"/>
        <vertAlign val="baseline"/>
        <sz val="11"/>
        <color rgb="FF000000"/>
        <name val="Calibri"/>
        <family val="2"/>
        <scheme val="none"/>
      </font>
      <fill>
        <patternFill patternType="solid">
          <fgColor indexed="64"/>
          <bgColor rgb="FFDCE6F1"/>
        </patternFill>
      </fill>
    </dxf>
    <dxf>
      <font>
        <b val="0"/>
        <i val="0"/>
        <strike val="0"/>
        <condense val="0"/>
        <extend val="0"/>
        <outline val="0"/>
        <shadow val="0"/>
        <u val="none"/>
        <vertAlign val="baseline"/>
        <sz val="11"/>
        <color theme="1"/>
        <name val="Calibri"/>
        <family val="2"/>
        <scheme val="none"/>
      </font>
    </dxf>
    <dxf>
      <font>
        <strike val="0"/>
        <outline val="0"/>
        <shadow val="0"/>
        <vertAlign val="baseline"/>
        <sz val="10"/>
        <color rgb="FF000000"/>
        <name val="Calibri"/>
        <family val="2"/>
        <scheme val="none"/>
      </font>
      <border diagonalUp="0" diagonalDown="0">
        <left style="thin">
          <color indexed="64"/>
        </left>
        <right style="thin">
          <color indexed="64"/>
        </right>
        <top style="thin">
          <color indexed="64"/>
        </top>
        <bottom style="thin">
          <color indexed="64"/>
        </bottom>
        <vertical/>
        <horizontal/>
      </border>
    </dxf>
    <dxf>
      <font>
        <strike val="0"/>
        <outline val="0"/>
        <shadow val="0"/>
        <vertAlign val="baseline"/>
        <sz val="11"/>
        <name val="Calibri"/>
        <family val="2"/>
        <scheme val="none"/>
      </font>
    </dxf>
    <dxf>
      <font>
        <strike val="0"/>
        <outline val="0"/>
        <shadow val="0"/>
        <vertAlign val="baseline"/>
        <sz val="11"/>
        <name val="Calibri"/>
        <family val="2"/>
        <scheme val="none"/>
      </font>
    </dxf>
    <dxf>
      <font>
        <b val="0"/>
        <i val="0"/>
        <strike val="0"/>
        <condense val="0"/>
        <extend val="0"/>
        <outline val="0"/>
        <shadow val="0"/>
        <u val="none"/>
        <vertAlign val="baseline"/>
        <sz val="10"/>
        <color theme="1"/>
        <name val="Verdana"/>
        <family val="2"/>
        <scheme val="none"/>
      </font>
      <numFmt numFmtId="165" formatCode="h:mm;@"/>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Verdana"/>
        <family val="2"/>
        <scheme val="none"/>
      </font>
      <numFmt numFmtId="165" formatCode="h:mm;@"/>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Verdana"/>
        <family val="2"/>
        <scheme val="none"/>
      </font>
      <numFmt numFmtId="165" formatCode="h:mm;@"/>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Verdana"/>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Verdana"/>
        <family val="2"/>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Verdana"/>
        <family val="2"/>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Verdana"/>
        <family val="2"/>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Verdana"/>
        <family val="2"/>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Verdana"/>
        <family val="2"/>
        <scheme val="none"/>
      </font>
      <numFmt numFmtId="19" formatCode="yyyy/mm/dd"/>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Verdana"/>
        <family val="2"/>
        <scheme val="none"/>
      </font>
      <numFmt numFmtId="19" formatCode="yyyy/mm/dd"/>
      <border diagonalUp="0" diagonalDown="0">
        <left style="thin">
          <color indexed="64"/>
        </left>
        <right style="thin">
          <color indexed="64"/>
        </right>
        <top style="thin">
          <color indexed="64"/>
        </top>
        <bottom style="thin">
          <color indexed="64"/>
        </bottom>
        <vertical/>
        <horizontal/>
      </border>
    </dxf>
    <dxf>
      <border outline="0">
        <top style="thin">
          <color theme="4" tint="0.39997558519241921"/>
        </top>
        <bottom style="thin">
          <color indexed="64"/>
        </bottom>
      </border>
    </dxf>
    <dxf>
      <border outline="0">
        <bottom style="thin">
          <color theme="4" tint="0.39997558519241921"/>
        </bottom>
      </border>
    </dxf>
    <dxf>
      <font>
        <b/>
        <i val="0"/>
        <strike val="0"/>
        <condense val="0"/>
        <extend val="0"/>
        <outline val="0"/>
        <shadow val="0"/>
        <u val="none"/>
        <vertAlign val="baseline"/>
        <sz val="10"/>
        <color theme="0"/>
        <name val="Verdana"/>
        <family val="2"/>
        <scheme val="none"/>
      </font>
      <fill>
        <patternFill patternType="solid">
          <fgColor theme="4"/>
          <bgColor theme="4"/>
        </patternFill>
      </fill>
      <alignment horizontal="center" vertical="bottom" textRotation="0" wrapText="1" indent="0" justifyLastLine="0" shrinkToFit="0" readingOrder="0"/>
    </dxf>
  </dxfs>
  <tableStyles count="1" defaultTableStyle="TableStyleMedium2" defaultPivotStyle="PivotStyleLight16">
    <tableStyle name="Invisible" pivot="0" table="0" count="0" xr9:uid="{6758C6CA-2356-4535-9D9D-86230C423211}"/>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2.xml"/><Relationship Id="rId5" Type="http://schemas.openxmlformats.org/officeDocument/2006/relationships/theme" Target="theme/theme1.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39728</xdr:colOff>
      <xdr:row>3</xdr:row>
      <xdr:rowOff>93132</xdr:rowOff>
    </xdr:to>
    <xdr:pic>
      <xdr:nvPicPr>
        <xdr:cNvPr id="3" name="Picture 2">
          <a:extLst>
            <a:ext uri="{FF2B5EF4-FFF2-40B4-BE49-F238E27FC236}">
              <a16:creationId xmlns:a16="http://schemas.microsoft.com/office/drawing/2014/main" id="{6DEE98BF-3F62-4D9B-ACDC-AC1BFA0C986F}"/>
            </a:ext>
          </a:extLst>
        </xdr:cNvPr>
        <xdr:cNvPicPr>
          <a:picLocks noChangeAspect="1"/>
        </xdr:cNvPicPr>
      </xdr:nvPicPr>
      <xdr:blipFill>
        <a:blip xmlns:r="http://schemas.openxmlformats.org/officeDocument/2006/relationships" r:embed="rId1"/>
        <a:stretch>
          <a:fillRect/>
        </a:stretch>
      </xdr:blipFill>
      <xdr:spPr>
        <a:xfrm>
          <a:off x="0" y="0"/>
          <a:ext cx="1953195" cy="60113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47755</xdr:colOff>
      <xdr:row>3</xdr:row>
      <xdr:rowOff>93901</xdr:rowOff>
    </xdr:to>
    <xdr:pic>
      <xdr:nvPicPr>
        <xdr:cNvPr id="2" name="Picture 1">
          <a:extLst>
            <a:ext uri="{FF2B5EF4-FFF2-40B4-BE49-F238E27FC236}">
              <a16:creationId xmlns:a16="http://schemas.microsoft.com/office/drawing/2014/main" id="{A3A15F1F-E2D6-422B-9DE6-17F4BDF3A2F2}"/>
            </a:ext>
          </a:extLst>
        </xdr:cNvPr>
        <xdr:cNvPicPr>
          <a:picLocks noChangeAspect="1"/>
        </xdr:cNvPicPr>
      </xdr:nvPicPr>
      <xdr:blipFill>
        <a:blip xmlns:r="http://schemas.openxmlformats.org/officeDocument/2006/relationships" r:embed="rId1"/>
        <a:stretch>
          <a:fillRect/>
        </a:stretch>
      </xdr:blipFill>
      <xdr:spPr>
        <a:xfrm>
          <a:off x="0" y="0"/>
          <a:ext cx="1961222" cy="601901"/>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775889</xdr:colOff>
      <xdr:row>3</xdr:row>
      <xdr:rowOff>93901</xdr:rowOff>
    </xdr:to>
    <xdr:pic>
      <xdr:nvPicPr>
        <xdr:cNvPr id="2" name="Picture 1">
          <a:extLst>
            <a:ext uri="{FF2B5EF4-FFF2-40B4-BE49-F238E27FC236}">
              <a16:creationId xmlns:a16="http://schemas.microsoft.com/office/drawing/2014/main" id="{FB3CC2B0-EA9F-4C12-B282-00CD0E23FFC4}"/>
            </a:ext>
          </a:extLst>
        </xdr:cNvPr>
        <xdr:cNvPicPr>
          <a:picLocks noChangeAspect="1"/>
        </xdr:cNvPicPr>
      </xdr:nvPicPr>
      <xdr:blipFill>
        <a:blip xmlns:r="http://schemas.openxmlformats.org/officeDocument/2006/relationships" r:embed="rId1"/>
        <a:stretch>
          <a:fillRect/>
        </a:stretch>
      </xdr:blipFill>
      <xdr:spPr>
        <a:xfrm>
          <a:off x="0" y="0"/>
          <a:ext cx="1961222" cy="601901"/>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916C3D1-5D00-4537-843F-6F610B81F77C}" name="TableTime" displayName="TableTime" ref="A8:J106" totalsRowShown="0" headerRowDxfId="35" headerRowBorderDxfId="34" tableBorderDxfId="33">
  <autoFilter ref="A8:J106" xr:uid="{1916C3D1-5D00-4537-843F-6F610B81F77C}"/>
  <tableColumns count="10">
    <tableColumn id="1" xr3:uid="{6DC23F72-3EB5-4FDC-9FD0-F1A00D0F54E6}" name="Date" dataDxfId="32"/>
    <tableColumn id="2" xr3:uid="{CA0341C5-1A3C-4CDD-84E3-803DA7FCEB69}" name="D of Week" dataDxfId="31"/>
    <tableColumn id="3" xr3:uid="{91E17201-EC3C-459A-93A6-F4E7B5CF532D}" name="Client" dataDxfId="30"/>
    <tableColumn id="4" xr3:uid="{C74A0C65-68F8-495D-8A04-563E5835A9AE}" name="Client Project Name" dataDxfId="29"/>
    <tableColumn id="5" xr3:uid="{5DE8ABA8-2F6C-4F0A-AB7A-F1AA58D1C6F0}" name="Description" dataDxfId="28"/>
    <tableColumn id="6" xr3:uid="{F83F2403-9BB3-41E8-9670-5DF6075D3712}" name="Billable or Non Billable" dataDxfId="27"/>
    <tableColumn id="7" xr3:uid="{091F2819-DF93-48DD-99FA-6D1F47D8E823}" name="Comments" dataDxfId="26"/>
    <tableColumn id="8" xr3:uid="{97A9737F-DE88-448F-81A2-19913C698A70}" name="Total Hours" dataDxfId="25">
      <calculatedColumnFormula>J9-I9</calculatedColumnFormula>
    </tableColumn>
    <tableColumn id="9" xr3:uid="{A65CE063-19A8-48AA-8E9D-B9C19DD875F5}" name="Start Time" dataDxfId="24"/>
    <tableColumn id="10" xr3:uid="{55A49E46-EAB7-458D-AD23-3F509594E6D3}" name="End Time" dataDxfId="23"/>
  </tableColumns>
  <tableStyleInfo name="TableStyleMedium2"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E876225-7964-4082-91F1-C6221C464408}" name="WorkType" displayName="WorkType" ref="H2:H62" totalsRowShown="0" headerRowDxfId="22" dataDxfId="21">
  <autoFilter ref="H2:H62" xr:uid="{2E876225-7964-4082-91F1-C6221C464408}"/>
  <tableColumns count="1">
    <tableColumn id="2" xr3:uid="{234A6588-4DEA-4067-9367-AEAFE02CA40D}" name="Resource" dataDxfId="20"/>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149CFBE-03DA-4A5C-8F86-52A53133C863}" name="ProjectTable" displayName="ProjectTable" ref="F2:F39" totalsRowShown="0" headerRowDxfId="19" dataDxfId="18" tableBorderDxfId="17">
  <autoFilter ref="F2:F39" xr:uid="{B149CFBE-03DA-4A5C-8F86-52A53133C863}"/>
  <sortState xmlns:xlrd2="http://schemas.microsoft.com/office/spreadsheetml/2017/richdata2" ref="F3:F19">
    <sortCondition ref="F2:F19"/>
  </sortState>
  <tableColumns count="1">
    <tableColumn id="1" xr3:uid="{D9788319-59C4-447A-9364-6F4EF6730453}" name="Description" dataDxfId="16"/>
  </tableColumns>
  <tableStyleInfo name="TableStyleMedium2"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Integral">
  <a:themeElements>
    <a:clrScheme name="Blue">
      <a:dk1>
        <a:sysClr val="windowText" lastClr="000000"/>
      </a:dk1>
      <a:lt1>
        <a:sysClr val="window" lastClr="FFFFFF"/>
      </a:lt1>
      <a:dk2>
        <a:srgbClr val="17406D"/>
      </a:dk2>
      <a:lt2>
        <a:srgbClr val="DBEFF9"/>
      </a:lt2>
      <a:accent1>
        <a:srgbClr val="0F6FC6"/>
      </a:accent1>
      <a:accent2>
        <a:srgbClr val="009DD9"/>
      </a:accent2>
      <a:accent3>
        <a:srgbClr val="0BD0D9"/>
      </a:accent3>
      <a:accent4>
        <a:srgbClr val="10CF9B"/>
      </a:accent4>
      <a:accent5>
        <a:srgbClr val="7CCA62"/>
      </a:accent5>
      <a:accent6>
        <a:srgbClr val="A5C249"/>
      </a:accent6>
      <a:hlink>
        <a:srgbClr val="F49100"/>
      </a:hlink>
      <a:folHlink>
        <a:srgbClr val="85DFD0"/>
      </a:folHlink>
    </a:clrScheme>
    <a:fontScheme name="Integral">
      <a:majorFont>
        <a:latin typeface="Tw Cen MT Condensed" panose="020B0606020104020203"/>
        <a:ea typeface=""/>
        <a:cs typeface=""/>
        <a:font script="Grek" typeface="Calibri"/>
        <a:font script="Cyrl" typeface="Calibri"/>
        <a:font script="Jpan" typeface="メイリオ"/>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Tw Cen MT" panose="020B0602020104020603"/>
        <a:ea typeface=""/>
        <a:cs typeface=""/>
        <a:font script="Grek" typeface="Calibri"/>
        <a:font script="Cyrl" typeface="Calibri"/>
        <a:font script="Jpan" typeface="メイリオ"/>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Integral">
      <a:fillStyleLst>
        <a:solidFill>
          <a:schemeClr val="phClr"/>
        </a:solidFill>
        <a:gradFill rotWithShape="1">
          <a:gsLst>
            <a:gs pos="0">
              <a:schemeClr val="phClr">
                <a:tint val="83000"/>
                <a:satMod val="100000"/>
                <a:lumMod val="100000"/>
              </a:schemeClr>
            </a:gs>
            <a:gs pos="100000">
              <a:schemeClr val="phClr">
                <a:tint val="61000"/>
                <a:satMod val="150000"/>
                <a:lumMod val="100000"/>
              </a:schemeClr>
            </a:gs>
          </a:gsLst>
          <a:path path="circle">
            <a:fillToRect l="100000" t="100000" r="100000" b="100000"/>
          </a:path>
        </a:gradFill>
        <a:gradFill rotWithShape="1">
          <a:gsLst>
            <a:gs pos="0">
              <a:schemeClr val="phClr">
                <a:tint val="100000"/>
                <a:shade val="85000"/>
                <a:satMod val="100000"/>
                <a:lumMod val="100000"/>
              </a:schemeClr>
            </a:gs>
            <a:gs pos="100000">
              <a:schemeClr val="phClr">
                <a:tint val="90000"/>
                <a:shade val="100000"/>
                <a:satMod val="150000"/>
                <a:lumMod val="100000"/>
              </a:schemeClr>
            </a:gs>
          </a:gsLst>
          <a:path path="circle">
            <a:fillToRect l="100000" t="100000" r="100000" b="100000"/>
          </a:path>
        </a:gradFill>
      </a:fillStyleLst>
      <a:lnStyleLst>
        <a:ln w="9525" cap="flat" cmpd="sng" algn="ctr">
          <a:solidFill>
            <a:schemeClr val="phClr"/>
          </a:solidFill>
          <a:prstDash val="solid"/>
        </a:ln>
        <a:ln w="15875"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outerShdw blurRad="50800" dist="12700" dir="5400000" algn="ctr" rotWithShape="0">
              <a:srgbClr val="000000">
                <a:alpha val="50000"/>
              </a:srgbClr>
            </a:outerShdw>
          </a:effectLst>
        </a:effectStyle>
        <a:effectStyle>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hemeClr val="phClr">
                <a:shade val="35000"/>
                <a:satMod val="160000"/>
              </a:schemeClr>
            </a:contourClr>
          </a:sp3d>
        </a:effectStyle>
      </a:effectStyleLst>
      <a:bgFillStyleLst>
        <a:solidFill>
          <a:schemeClr val="phClr"/>
        </a:solidFill>
        <a:solidFill>
          <a:schemeClr val="phClr">
            <a:tint val="95000"/>
            <a:shade val="85000"/>
            <a:satMod val="125000"/>
          </a:schemeClr>
        </a:solidFill>
        <a:blipFill rotWithShape="1">
          <a:blip xmlns:r="http://schemas.openxmlformats.org/officeDocument/2006/relationships" r:embed="rId1">
            <a:duotone>
              <a:schemeClr val="phClr">
                <a:tint val="95000"/>
                <a:shade val="74000"/>
                <a:satMod val="230000"/>
              </a:schemeClr>
              <a:schemeClr val="phClr">
                <a:tint val="92000"/>
                <a:shade val="69000"/>
                <a:satMod val="250000"/>
              </a:schemeClr>
            </a:duotone>
          </a:blip>
          <a:tile tx="0" ty="0" sx="40000" sy="40000" flip="none" algn="tl"/>
        </a:blipFill>
      </a:bgFillStyleLst>
    </a:fmtScheme>
  </a:themeElements>
  <a:objectDefaults/>
  <a:extraClrSchemeLst/>
  <a:extLst>
    <a:ext uri="{05A4C25C-085E-4340-85A3-A5531E510DB2}">
      <thm15:themeFamily xmlns:thm15="http://schemas.microsoft.com/office/thememl/2012/main" name="Integral" id="{3577F8C9-A904-41D8-97D2-FD898F53F20E}" vid="{682D6EBE-8D36-4FF2-9DB3-F3D8D7B6715D}"/>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5FF808-4CDC-4429-9978-CAD26FE6591A}">
  <dimension ref="A5:J117"/>
  <sheetViews>
    <sheetView tabSelected="1" zoomScale="75" zoomScaleNormal="75" workbookViewId="0">
      <selection activeCell="L9" sqref="L9"/>
    </sheetView>
  </sheetViews>
  <sheetFormatPr defaultColWidth="8.69921875" defaultRowHeight="12.6" x14ac:dyDescent="0.2"/>
  <cols>
    <col min="1" max="1" width="12" style="21" customWidth="1"/>
    <col min="2" max="2" width="13.09765625" style="21" customWidth="1"/>
    <col min="3" max="3" width="16.19921875" style="21" customWidth="1"/>
    <col min="4" max="4" width="21.8984375" style="21" customWidth="1"/>
    <col min="5" max="5" width="20" style="21" customWidth="1"/>
    <col min="6" max="6" width="24.09765625" style="21" customWidth="1"/>
    <col min="7" max="7" width="34" style="21" customWidth="1"/>
    <col min="8" max="8" width="13.69921875" style="21" customWidth="1"/>
    <col min="9" max="9" width="12.69921875" style="21" customWidth="1"/>
    <col min="10" max="10" width="11.5" style="21" customWidth="1"/>
    <col min="11" max="16384" width="8.69921875" style="21"/>
  </cols>
  <sheetData>
    <row r="5" spans="1:10" x14ac:dyDescent="0.2">
      <c r="A5" s="32" t="s">
        <v>0</v>
      </c>
      <c r="B5" s="21" t="s">
        <v>1</v>
      </c>
      <c r="C5" s="32"/>
      <c r="H5" s="35"/>
    </row>
    <row r="6" spans="1:10" x14ac:dyDescent="0.2">
      <c r="A6" s="32" t="s">
        <v>2</v>
      </c>
      <c r="B6" s="73">
        <f>F112</f>
        <v>0</v>
      </c>
      <c r="C6" s="32"/>
      <c r="D6" s="32"/>
      <c r="E6" s="32"/>
      <c r="H6" s="35"/>
      <c r="J6" s="36"/>
    </row>
    <row r="7" spans="1:10" x14ac:dyDescent="0.2">
      <c r="H7" s="35"/>
    </row>
    <row r="8" spans="1:10" x14ac:dyDescent="0.2">
      <c r="A8" s="99" t="s">
        <v>3</v>
      </c>
      <c r="B8" s="100" t="s">
        <v>4</v>
      </c>
      <c r="C8" s="100" t="s">
        <v>5</v>
      </c>
      <c r="D8" s="100" t="s">
        <v>6</v>
      </c>
      <c r="E8" s="100" t="s">
        <v>7</v>
      </c>
      <c r="F8" s="100" t="s">
        <v>8</v>
      </c>
      <c r="G8" s="101" t="s">
        <v>9</v>
      </c>
      <c r="H8" s="102" t="s">
        <v>10</v>
      </c>
      <c r="I8" s="102" t="s">
        <v>11</v>
      </c>
      <c r="J8" s="103" t="s">
        <v>12</v>
      </c>
    </row>
    <row r="9" spans="1:10" ht="113.4" x14ac:dyDescent="0.2">
      <c r="A9" s="20">
        <v>45695</v>
      </c>
      <c r="B9" s="20" t="s">
        <v>13</v>
      </c>
      <c r="C9" s="22" t="s">
        <v>14</v>
      </c>
      <c r="D9" s="22" t="s">
        <v>15</v>
      </c>
      <c r="E9" s="22" t="s">
        <v>16</v>
      </c>
      <c r="F9" s="22" t="s">
        <v>17</v>
      </c>
      <c r="G9" s="23" t="s">
        <v>18</v>
      </c>
      <c r="H9" s="24">
        <f t="shared" ref="H9:H100" si="0">J9-I9</f>
        <v>0.37500000000000006</v>
      </c>
      <c r="I9" s="25">
        <v>0.33333333333333331</v>
      </c>
      <c r="J9" s="25">
        <v>0.70833333333333337</v>
      </c>
    </row>
    <row r="10" spans="1:10" x14ac:dyDescent="0.2">
      <c r="A10" s="26">
        <v>45696</v>
      </c>
      <c r="B10" s="26" t="s">
        <v>19</v>
      </c>
      <c r="C10" s="27"/>
      <c r="D10" s="27"/>
      <c r="E10" s="27"/>
      <c r="F10" s="27"/>
      <c r="G10" s="28"/>
      <c r="H10" s="98">
        <v>0</v>
      </c>
      <c r="I10" s="30"/>
      <c r="J10" s="30"/>
    </row>
    <row r="11" spans="1:10" x14ac:dyDescent="0.2">
      <c r="A11" s="26">
        <v>45697</v>
      </c>
      <c r="B11" s="26" t="s">
        <v>20</v>
      </c>
      <c r="C11" s="27"/>
      <c r="D11" s="27"/>
      <c r="E11" s="27"/>
      <c r="F11" s="27"/>
      <c r="G11" s="28"/>
      <c r="H11" s="98">
        <v>0</v>
      </c>
      <c r="I11" s="30"/>
      <c r="J11" s="30"/>
    </row>
    <row r="12" spans="1:10" ht="63" x14ac:dyDescent="0.2">
      <c r="A12" s="20">
        <v>45698</v>
      </c>
      <c r="B12" s="20" t="s">
        <v>21</v>
      </c>
      <c r="C12" s="22" t="s">
        <v>14</v>
      </c>
      <c r="D12" s="22" t="s">
        <v>15</v>
      </c>
      <c r="E12" s="22" t="s">
        <v>22</v>
      </c>
      <c r="F12" s="22" t="s">
        <v>17</v>
      </c>
      <c r="G12" s="23" t="s">
        <v>23</v>
      </c>
      <c r="H12" s="24">
        <f t="shared" si="0"/>
        <v>6.25E-2</v>
      </c>
      <c r="I12" s="25">
        <v>0.35416666666666669</v>
      </c>
      <c r="J12" s="25">
        <v>0.41666666666666669</v>
      </c>
    </row>
    <row r="13" spans="1:10" ht="25.2" x14ac:dyDescent="0.2">
      <c r="A13" s="20">
        <v>45698</v>
      </c>
      <c r="B13" s="20" t="s">
        <v>21</v>
      </c>
      <c r="C13" s="22" t="s">
        <v>14</v>
      </c>
      <c r="D13" s="22" t="s">
        <v>15</v>
      </c>
      <c r="E13" s="22" t="s">
        <v>22</v>
      </c>
      <c r="F13" s="22" t="s">
        <v>17</v>
      </c>
      <c r="G13" s="23" t="s">
        <v>24</v>
      </c>
      <c r="H13" s="24">
        <f t="shared" si="0"/>
        <v>8.3333333333333315E-2</v>
      </c>
      <c r="I13" s="25">
        <v>0.41666666666666669</v>
      </c>
      <c r="J13" s="25">
        <v>0.5</v>
      </c>
    </row>
    <row r="14" spans="1:10" ht="88.2" x14ac:dyDescent="0.2">
      <c r="A14" s="20">
        <v>45698</v>
      </c>
      <c r="B14" s="20" t="s">
        <v>21</v>
      </c>
      <c r="C14" s="22" t="s">
        <v>14</v>
      </c>
      <c r="D14" s="22" t="s">
        <v>15</v>
      </c>
      <c r="E14" s="22" t="s">
        <v>25</v>
      </c>
      <c r="F14" s="22" t="s">
        <v>17</v>
      </c>
      <c r="G14" s="23" t="s">
        <v>26</v>
      </c>
      <c r="H14" s="24">
        <f t="shared" si="0"/>
        <v>0.125</v>
      </c>
      <c r="I14" s="25">
        <v>0.54166666666666663</v>
      </c>
      <c r="J14" s="25">
        <v>0.66666666666666663</v>
      </c>
    </row>
    <row r="15" spans="1:10" ht="37.799999999999997" x14ac:dyDescent="0.2">
      <c r="A15" s="20">
        <v>45698</v>
      </c>
      <c r="B15" s="20" t="s">
        <v>21</v>
      </c>
      <c r="C15" s="22" t="s">
        <v>14</v>
      </c>
      <c r="D15" s="22" t="s">
        <v>15</v>
      </c>
      <c r="E15" s="22" t="s">
        <v>22</v>
      </c>
      <c r="F15" s="22" t="s">
        <v>17</v>
      </c>
      <c r="G15" s="23" t="s">
        <v>27</v>
      </c>
      <c r="H15" s="24">
        <f t="shared" si="0"/>
        <v>8.333333333333337E-2</v>
      </c>
      <c r="I15" s="25">
        <v>0.66666666666666663</v>
      </c>
      <c r="J15" s="25">
        <v>0.75</v>
      </c>
    </row>
    <row r="16" spans="1:10" x14ac:dyDescent="0.2">
      <c r="A16" s="20">
        <v>45698</v>
      </c>
      <c r="B16" s="20" t="s">
        <v>28</v>
      </c>
      <c r="C16" s="22" t="s">
        <v>14</v>
      </c>
      <c r="D16" s="22" t="s">
        <v>15</v>
      </c>
      <c r="E16" s="22" t="s">
        <v>29</v>
      </c>
      <c r="F16" s="22" t="s">
        <v>17</v>
      </c>
      <c r="G16" s="23" t="s">
        <v>30</v>
      </c>
      <c r="H16" s="24">
        <f t="shared" si="0"/>
        <v>2.083333333333337E-2</v>
      </c>
      <c r="I16" s="25">
        <v>0.33333333333333331</v>
      </c>
      <c r="J16" s="25">
        <v>0.35416666666666669</v>
      </c>
    </row>
    <row r="17" spans="1:10" ht="50.4" x14ac:dyDescent="0.2">
      <c r="A17" s="20">
        <v>45699</v>
      </c>
      <c r="B17" s="20" t="s">
        <v>28</v>
      </c>
      <c r="C17" s="22" t="s">
        <v>14</v>
      </c>
      <c r="D17" s="22" t="s">
        <v>15</v>
      </c>
      <c r="E17" s="22" t="s">
        <v>25</v>
      </c>
      <c r="F17" s="22" t="s">
        <v>17</v>
      </c>
      <c r="G17" s="23" t="s">
        <v>31</v>
      </c>
      <c r="H17" s="24">
        <f t="shared" si="0"/>
        <v>4.166666666666663E-2</v>
      </c>
      <c r="I17" s="25">
        <v>0.35416666666666669</v>
      </c>
      <c r="J17" s="25">
        <v>0.39583333333333331</v>
      </c>
    </row>
    <row r="18" spans="1:10" ht="25.2" x14ac:dyDescent="0.2">
      <c r="A18" s="20">
        <v>45699</v>
      </c>
      <c r="B18" s="20" t="s">
        <v>28</v>
      </c>
      <c r="C18" s="22" t="s">
        <v>14</v>
      </c>
      <c r="D18" s="22" t="s">
        <v>15</v>
      </c>
      <c r="E18" s="22" t="s">
        <v>25</v>
      </c>
      <c r="F18" s="22" t="s">
        <v>17</v>
      </c>
      <c r="G18" s="23" t="s">
        <v>32</v>
      </c>
      <c r="H18" s="24">
        <f t="shared" si="0"/>
        <v>6.25E-2</v>
      </c>
      <c r="I18" s="25">
        <v>0.39583333333333331</v>
      </c>
      <c r="J18" s="25">
        <v>0.45833333333333331</v>
      </c>
    </row>
    <row r="19" spans="1:10" ht="50.4" x14ac:dyDescent="0.2">
      <c r="A19" s="20">
        <v>45699</v>
      </c>
      <c r="B19" s="20" t="s">
        <v>28</v>
      </c>
      <c r="C19" s="22" t="s">
        <v>14</v>
      </c>
      <c r="D19" s="22" t="s">
        <v>15</v>
      </c>
      <c r="E19" s="22" t="s">
        <v>33</v>
      </c>
      <c r="F19" s="22" t="s">
        <v>17</v>
      </c>
      <c r="G19" s="23" t="s">
        <v>34</v>
      </c>
      <c r="H19" s="24">
        <f t="shared" si="0"/>
        <v>4.1666666666666685E-2</v>
      </c>
      <c r="I19" s="25">
        <v>0.45833333333333331</v>
      </c>
      <c r="J19" s="25">
        <v>0.5</v>
      </c>
    </row>
    <row r="20" spans="1:10" ht="50.4" x14ac:dyDescent="0.2">
      <c r="A20" s="20">
        <v>45699</v>
      </c>
      <c r="B20" s="20" t="s">
        <v>28</v>
      </c>
      <c r="C20" s="22" t="s">
        <v>14</v>
      </c>
      <c r="D20" s="22" t="s">
        <v>15</v>
      </c>
      <c r="E20" s="22" t="s">
        <v>25</v>
      </c>
      <c r="F20" s="22" t="s">
        <v>17</v>
      </c>
      <c r="G20" s="23" t="s">
        <v>35</v>
      </c>
      <c r="H20" s="24">
        <f t="shared" si="0"/>
        <v>0.125</v>
      </c>
      <c r="I20" s="25">
        <v>0.54166666666666663</v>
      </c>
      <c r="J20" s="25">
        <v>0.66666666666666663</v>
      </c>
    </row>
    <row r="21" spans="1:10" ht="126" x14ac:dyDescent="0.2">
      <c r="A21" s="20">
        <v>45699</v>
      </c>
      <c r="B21" s="20" t="s">
        <v>28</v>
      </c>
      <c r="C21" s="22" t="s">
        <v>14</v>
      </c>
      <c r="D21" s="22" t="s">
        <v>15</v>
      </c>
      <c r="E21" s="22" t="s">
        <v>25</v>
      </c>
      <c r="F21" s="22" t="s">
        <v>17</v>
      </c>
      <c r="G21" s="23" t="s">
        <v>36</v>
      </c>
      <c r="H21" s="24">
        <f t="shared" si="0"/>
        <v>7.2916666666666741E-2</v>
      </c>
      <c r="I21" s="25">
        <v>0.66666666666666663</v>
      </c>
      <c r="J21" s="25">
        <v>0.73958333333333337</v>
      </c>
    </row>
    <row r="22" spans="1:10" x14ac:dyDescent="0.2">
      <c r="A22" s="20">
        <v>45700</v>
      </c>
      <c r="B22" s="20" t="s">
        <v>37</v>
      </c>
      <c r="C22" s="22" t="s">
        <v>14</v>
      </c>
      <c r="D22" s="22" t="s">
        <v>15</v>
      </c>
      <c r="E22" s="22" t="s">
        <v>29</v>
      </c>
      <c r="F22" s="22" t="s">
        <v>17</v>
      </c>
      <c r="G22" s="23" t="s">
        <v>30</v>
      </c>
      <c r="H22" s="24">
        <f t="shared" si="0"/>
        <v>2.083333333333337E-2</v>
      </c>
      <c r="I22" s="25">
        <v>0.33333333333333331</v>
      </c>
      <c r="J22" s="25">
        <v>0.35416666666666669</v>
      </c>
    </row>
    <row r="23" spans="1:10" ht="63" x14ac:dyDescent="0.2">
      <c r="A23" s="20">
        <v>45700</v>
      </c>
      <c r="B23" s="20" t="s">
        <v>37</v>
      </c>
      <c r="C23" s="22" t="s">
        <v>14</v>
      </c>
      <c r="D23" s="22" t="s">
        <v>15</v>
      </c>
      <c r="E23" s="22" t="s">
        <v>25</v>
      </c>
      <c r="F23" s="22" t="s">
        <v>17</v>
      </c>
      <c r="G23" s="23" t="s">
        <v>38</v>
      </c>
      <c r="H23" s="24">
        <f t="shared" si="0"/>
        <v>3.125E-2</v>
      </c>
      <c r="I23" s="25">
        <v>0.35416666666666669</v>
      </c>
      <c r="J23" s="25">
        <v>0.38541666666666669</v>
      </c>
    </row>
    <row r="24" spans="1:10" ht="50.4" x14ac:dyDescent="0.2">
      <c r="A24" s="20">
        <v>45700</v>
      </c>
      <c r="B24" s="21" t="s">
        <v>37</v>
      </c>
      <c r="C24" s="22" t="s">
        <v>14</v>
      </c>
      <c r="D24" s="22" t="s">
        <v>15</v>
      </c>
      <c r="E24" s="22" t="s">
        <v>25</v>
      </c>
      <c r="F24" s="22" t="s">
        <v>17</v>
      </c>
      <c r="G24" s="23" t="s">
        <v>39</v>
      </c>
      <c r="H24" s="24">
        <f t="shared" si="0"/>
        <v>0.11458333333333331</v>
      </c>
      <c r="I24" s="25">
        <v>0.38541666666666669</v>
      </c>
      <c r="J24" s="25">
        <v>0.5</v>
      </c>
    </row>
    <row r="25" spans="1:10" ht="25.2" x14ac:dyDescent="0.2">
      <c r="A25" s="39">
        <v>45700</v>
      </c>
      <c r="B25" s="20" t="s">
        <v>37</v>
      </c>
      <c r="C25" s="22" t="s">
        <v>14</v>
      </c>
      <c r="D25" s="22" t="s">
        <v>15</v>
      </c>
      <c r="E25" s="22" t="s">
        <v>25</v>
      </c>
      <c r="F25" s="22" t="s">
        <v>17</v>
      </c>
      <c r="G25" s="23" t="s">
        <v>40</v>
      </c>
      <c r="H25" s="24">
        <f t="shared" si="0"/>
        <v>0.125</v>
      </c>
      <c r="I25" s="25">
        <v>0.54166666666666663</v>
      </c>
      <c r="J25" s="25">
        <v>0.66666666666666663</v>
      </c>
    </row>
    <row r="26" spans="1:10" ht="138.6" x14ac:dyDescent="0.2">
      <c r="A26" s="20">
        <v>45700</v>
      </c>
      <c r="B26" s="20" t="s">
        <v>37</v>
      </c>
      <c r="C26" s="22" t="s">
        <v>14</v>
      </c>
      <c r="D26" s="22" t="s">
        <v>15</v>
      </c>
      <c r="E26" s="22" t="s">
        <v>25</v>
      </c>
      <c r="F26" s="22" t="s">
        <v>17</v>
      </c>
      <c r="G26" s="23" t="s">
        <v>41</v>
      </c>
      <c r="H26" s="24">
        <f t="shared" si="0"/>
        <v>9.375E-2</v>
      </c>
      <c r="I26" s="25">
        <v>0.66666666666666663</v>
      </c>
      <c r="J26" s="25">
        <v>0.76041666666666663</v>
      </c>
    </row>
    <row r="27" spans="1:10" x14ac:dyDescent="0.2">
      <c r="A27" s="20">
        <v>45701</v>
      </c>
      <c r="B27" s="20" t="s">
        <v>42</v>
      </c>
      <c r="C27" s="22" t="s">
        <v>14</v>
      </c>
      <c r="D27" s="22" t="s">
        <v>15</v>
      </c>
      <c r="E27" s="22" t="s">
        <v>29</v>
      </c>
      <c r="F27" s="22" t="s">
        <v>17</v>
      </c>
      <c r="G27" s="23" t="s">
        <v>30</v>
      </c>
      <c r="H27" s="24">
        <f t="shared" si="0"/>
        <v>2.083333333333337E-2</v>
      </c>
      <c r="I27" s="25">
        <v>0.33333333333333331</v>
      </c>
      <c r="J27" s="25">
        <v>0.35416666666666669</v>
      </c>
    </row>
    <row r="28" spans="1:10" ht="75.599999999999994" x14ac:dyDescent="0.2">
      <c r="A28" s="20">
        <v>45701</v>
      </c>
      <c r="B28" s="20" t="s">
        <v>42</v>
      </c>
      <c r="C28" s="22" t="s">
        <v>14</v>
      </c>
      <c r="D28" s="22" t="s">
        <v>15</v>
      </c>
      <c r="E28" s="22" t="s">
        <v>22</v>
      </c>
      <c r="F28" s="22" t="s">
        <v>17</v>
      </c>
      <c r="G28" s="23" t="s">
        <v>43</v>
      </c>
      <c r="H28" s="24">
        <f t="shared" si="0"/>
        <v>2.0833333333333315E-2</v>
      </c>
      <c r="I28" s="25">
        <v>0.35416666666666669</v>
      </c>
      <c r="J28" s="25">
        <v>0.375</v>
      </c>
    </row>
    <row r="29" spans="1:10" ht="100.8" x14ac:dyDescent="0.2">
      <c r="A29" s="20">
        <v>45701</v>
      </c>
      <c r="B29" s="20" t="s">
        <v>42</v>
      </c>
      <c r="C29" s="22" t="s">
        <v>14</v>
      </c>
      <c r="D29" s="22" t="s">
        <v>15</v>
      </c>
      <c r="E29" s="22" t="s">
        <v>22</v>
      </c>
      <c r="F29" s="22" t="s">
        <v>17</v>
      </c>
      <c r="G29" s="23" t="s">
        <v>44</v>
      </c>
      <c r="H29" s="24">
        <f t="shared" si="0"/>
        <v>4.1666666666666685E-2</v>
      </c>
      <c r="I29" s="25">
        <v>0.375</v>
      </c>
      <c r="J29" s="25">
        <v>0.41666666666666669</v>
      </c>
    </row>
    <row r="30" spans="1:10" ht="25.2" x14ac:dyDescent="0.2">
      <c r="A30" s="20">
        <v>45701</v>
      </c>
      <c r="B30" s="20" t="s">
        <v>42</v>
      </c>
      <c r="C30" s="22" t="s">
        <v>14</v>
      </c>
      <c r="D30" s="22" t="s">
        <v>15</v>
      </c>
      <c r="E30" s="22" t="s">
        <v>25</v>
      </c>
      <c r="F30" s="22" t="s">
        <v>17</v>
      </c>
      <c r="G30" s="23" t="s">
        <v>45</v>
      </c>
      <c r="H30" s="24">
        <f t="shared" si="0"/>
        <v>4.166666666666663E-2</v>
      </c>
      <c r="I30" s="25">
        <v>0.41666666666666669</v>
      </c>
      <c r="J30" s="25">
        <v>0.45833333333333331</v>
      </c>
    </row>
    <row r="31" spans="1:10" ht="50.4" x14ac:dyDescent="0.2">
      <c r="A31" s="20">
        <v>45701</v>
      </c>
      <c r="B31" s="20" t="s">
        <v>42</v>
      </c>
      <c r="C31" s="22" t="s">
        <v>14</v>
      </c>
      <c r="D31" s="22" t="s">
        <v>15</v>
      </c>
      <c r="E31" s="22" t="s">
        <v>33</v>
      </c>
      <c r="F31" s="22" t="s">
        <v>17</v>
      </c>
      <c r="G31" s="23" t="s">
        <v>46</v>
      </c>
      <c r="H31" s="24">
        <f t="shared" si="0"/>
        <v>6.2500000000000056E-2</v>
      </c>
      <c r="I31" s="25">
        <v>0.45833333333333331</v>
      </c>
      <c r="J31" s="25">
        <v>0.52083333333333337</v>
      </c>
    </row>
    <row r="32" spans="1:10" ht="25.2" x14ac:dyDescent="0.2">
      <c r="A32" s="20">
        <v>45701</v>
      </c>
      <c r="B32" s="20" t="s">
        <v>42</v>
      </c>
      <c r="C32" s="21" t="s">
        <v>14</v>
      </c>
      <c r="D32" s="22" t="s">
        <v>15</v>
      </c>
      <c r="E32" s="22" t="s">
        <v>22</v>
      </c>
      <c r="F32" s="22" t="s">
        <v>17</v>
      </c>
      <c r="G32" s="23" t="s">
        <v>47</v>
      </c>
      <c r="H32" s="24">
        <f t="shared" si="0"/>
        <v>4.861111111111116E-2</v>
      </c>
      <c r="I32" s="25">
        <v>0.5625</v>
      </c>
      <c r="J32" s="25">
        <v>0.61111111111111116</v>
      </c>
    </row>
    <row r="33" spans="1:10" ht="25.2" x14ac:dyDescent="0.2">
      <c r="A33" s="20">
        <v>45701</v>
      </c>
      <c r="B33" s="20" t="s">
        <v>42</v>
      </c>
      <c r="C33" s="22" t="s">
        <v>14</v>
      </c>
      <c r="D33" s="22" t="s">
        <v>15</v>
      </c>
      <c r="E33" s="22" t="s">
        <v>25</v>
      </c>
      <c r="F33" s="22" t="s">
        <v>17</v>
      </c>
      <c r="G33" s="23" t="s">
        <v>48</v>
      </c>
      <c r="H33" s="24">
        <f t="shared" si="0"/>
        <v>5.5555555555555469E-2</v>
      </c>
      <c r="I33" s="25">
        <v>0.61111111111111116</v>
      </c>
      <c r="J33" s="25">
        <v>0.66666666666666663</v>
      </c>
    </row>
    <row r="34" spans="1:10" ht="88.2" x14ac:dyDescent="0.2">
      <c r="A34" s="20">
        <v>45701</v>
      </c>
      <c r="B34" s="20" t="s">
        <v>42</v>
      </c>
      <c r="C34" s="22" t="s">
        <v>14</v>
      </c>
      <c r="D34" s="22" t="s">
        <v>15</v>
      </c>
      <c r="E34" s="22" t="s">
        <v>22</v>
      </c>
      <c r="F34" s="22" t="s">
        <v>17</v>
      </c>
      <c r="G34" s="23" t="s">
        <v>49</v>
      </c>
      <c r="H34" s="24">
        <f t="shared" si="0"/>
        <v>6.597222222222221E-2</v>
      </c>
      <c r="I34" s="25">
        <v>0.66666666666666663</v>
      </c>
      <c r="J34" s="25">
        <v>0.73263888888888884</v>
      </c>
    </row>
    <row r="35" spans="1:10" x14ac:dyDescent="0.2">
      <c r="A35" s="20">
        <v>45702</v>
      </c>
      <c r="B35" s="20" t="s">
        <v>13</v>
      </c>
      <c r="C35" s="22" t="s">
        <v>14</v>
      </c>
      <c r="D35" s="22" t="s">
        <v>15</v>
      </c>
      <c r="E35" s="22" t="s">
        <v>29</v>
      </c>
      <c r="F35" s="22" t="s">
        <v>17</v>
      </c>
      <c r="G35" s="23" t="s">
        <v>30</v>
      </c>
      <c r="H35" s="24">
        <f t="shared" si="0"/>
        <v>2.083333333333337E-2</v>
      </c>
      <c r="I35" s="25">
        <v>0.33333333333333331</v>
      </c>
      <c r="J35" s="25">
        <v>0.35416666666666669</v>
      </c>
    </row>
    <row r="36" spans="1:10" ht="75.599999999999994" x14ac:dyDescent="0.2">
      <c r="A36" s="20">
        <v>45702</v>
      </c>
      <c r="B36" s="20" t="s">
        <v>13</v>
      </c>
      <c r="C36" s="22" t="s">
        <v>14</v>
      </c>
      <c r="D36" s="22" t="s">
        <v>15</v>
      </c>
      <c r="E36" s="22" t="s">
        <v>22</v>
      </c>
      <c r="F36" s="22" t="s">
        <v>17</v>
      </c>
      <c r="G36" s="23" t="s">
        <v>50</v>
      </c>
      <c r="H36" s="24">
        <f t="shared" si="0"/>
        <v>4.166666666666663E-2</v>
      </c>
      <c r="I36" s="25">
        <v>0.35416666666666669</v>
      </c>
      <c r="J36" s="25">
        <v>0.39583333333333331</v>
      </c>
    </row>
    <row r="37" spans="1:10" ht="88.2" x14ac:dyDescent="0.2">
      <c r="A37" s="20">
        <v>45702</v>
      </c>
      <c r="B37" s="20" t="s">
        <v>13</v>
      </c>
      <c r="C37" s="22" t="s">
        <v>14</v>
      </c>
      <c r="D37" s="22" t="s">
        <v>15</v>
      </c>
      <c r="E37" s="22" t="s">
        <v>25</v>
      </c>
      <c r="F37" s="22" t="s">
        <v>17</v>
      </c>
      <c r="G37" s="23" t="s">
        <v>51</v>
      </c>
      <c r="H37" s="24">
        <f t="shared" si="0"/>
        <v>6.25E-2</v>
      </c>
      <c r="I37" s="25">
        <v>0.39583333333333331</v>
      </c>
      <c r="J37" s="25">
        <v>0.45833333333333331</v>
      </c>
    </row>
    <row r="38" spans="1:10" ht="37.799999999999997" x14ac:dyDescent="0.2">
      <c r="A38" s="20">
        <v>45702</v>
      </c>
      <c r="B38" s="20" t="s">
        <v>13</v>
      </c>
      <c r="C38" s="22" t="s">
        <v>14</v>
      </c>
      <c r="D38" s="22" t="s">
        <v>15</v>
      </c>
      <c r="E38" s="22" t="s">
        <v>33</v>
      </c>
      <c r="F38" s="22" t="s">
        <v>17</v>
      </c>
      <c r="G38" s="23" t="s">
        <v>52</v>
      </c>
      <c r="H38" s="24">
        <f t="shared" si="0"/>
        <v>4.1666666666666685E-2</v>
      </c>
      <c r="I38" s="25">
        <v>0.45833333333333331</v>
      </c>
      <c r="J38" s="25">
        <v>0.5</v>
      </c>
    </row>
    <row r="39" spans="1:10" ht="25.2" x14ac:dyDescent="0.2">
      <c r="A39" s="20">
        <v>45702</v>
      </c>
      <c r="B39" s="20" t="s">
        <v>13</v>
      </c>
      <c r="C39" s="22" t="s">
        <v>14</v>
      </c>
      <c r="D39" s="22" t="s">
        <v>15</v>
      </c>
      <c r="E39" s="22" t="s">
        <v>25</v>
      </c>
      <c r="F39" s="22" t="s">
        <v>17</v>
      </c>
      <c r="G39" s="23" t="s">
        <v>53</v>
      </c>
      <c r="H39" s="24">
        <f t="shared" si="0"/>
        <v>0.125</v>
      </c>
      <c r="I39" s="25">
        <v>0.54166666666666663</v>
      </c>
      <c r="J39" s="25">
        <v>0.66666666666666663</v>
      </c>
    </row>
    <row r="40" spans="1:10" ht="88.2" x14ac:dyDescent="0.2">
      <c r="A40" s="20">
        <v>45702</v>
      </c>
      <c r="B40" s="20" t="s">
        <v>13</v>
      </c>
      <c r="C40" s="22" t="s">
        <v>14</v>
      </c>
      <c r="D40" s="22" t="s">
        <v>15</v>
      </c>
      <c r="E40" s="22" t="s">
        <v>22</v>
      </c>
      <c r="F40" s="22" t="s">
        <v>17</v>
      </c>
      <c r="G40" s="23" t="s">
        <v>54</v>
      </c>
      <c r="H40" s="24">
        <f t="shared" si="0"/>
        <v>8.333333333333337E-2</v>
      </c>
      <c r="I40" s="25">
        <v>0.66666666666666663</v>
      </c>
      <c r="J40" s="25">
        <v>0.75</v>
      </c>
    </row>
    <row r="41" spans="1:10" x14ac:dyDescent="0.2">
      <c r="A41" s="26">
        <v>45703</v>
      </c>
      <c r="B41" s="26" t="s">
        <v>19</v>
      </c>
      <c r="C41" s="27"/>
      <c r="D41" s="27"/>
      <c r="E41" s="27"/>
      <c r="F41" s="27"/>
      <c r="G41" s="28"/>
      <c r="H41" s="29">
        <f t="shared" si="0"/>
        <v>0</v>
      </c>
      <c r="I41" s="30"/>
      <c r="J41" s="30"/>
    </row>
    <row r="42" spans="1:10" x14ac:dyDescent="0.2">
      <c r="A42" s="26">
        <v>45704</v>
      </c>
      <c r="B42" s="26" t="s">
        <v>20</v>
      </c>
      <c r="C42" s="27"/>
      <c r="D42" s="27"/>
      <c r="E42" s="27"/>
      <c r="F42" s="27"/>
      <c r="G42" s="28"/>
      <c r="H42" s="29">
        <f t="shared" si="0"/>
        <v>0</v>
      </c>
      <c r="I42" s="30"/>
      <c r="J42" s="30"/>
    </row>
    <row r="43" spans="1:10" x14ac:dyDescent="0.2">
      <c r="A43" s="20">
        <v>45705</v>
      </c>
      <c r="B43" s="20" t="s">
        <v>21</v>
      </c>
      <c r="C43" s="22" t="s">
        <v>14</v>
      </c>
      <c r="D43" s="22" t="s">
        <v>15</v>
      </c>
      <c r="E43" s="22" t="s">
        <v>29</v>
      </c>
      <c r="F43" s="22" t="s">
        <v>17</v>
      </c>
      <c r="G43" s="23" t="s">
        <v>30</v>
      </c>
      <c r="H43" s="24">
        <f t="shared" si="0"/>
        <v>2.083333333333337E-2</v>
      </c>
      <c r="I43" s="25">
        <v>0.33333333333333331</v>
      </c>
      <c r="J43" s="25">
        <v>0.35416666666666669</v>
      </c>
    </row>
    <row r="44" spans="1:10" ht="176.4" x14ac:dyDescent="0.2">
      <c r="A44" s="20">
        <v>45705</v>
      </c>
      <c r="B44" s="20" t="s">
        <v>21</v>
      </c>
      <c r="C44" s="22" t="s">
        <v>14</v>
      </c>
      <c r="D44" s="22" t="s">
        <v>15</v>
      </c>
      <c r="E44" s="22" t="s">
        <v>22</v>
      </c>
      <c r="F44" s="22" t="s">
        <v>17</v>
      </c>
      <c r="G44" s="23" t="s">
        <v>55</v>
      </c>
      <c r="H44" s="24">
        <v>9.375E-2</v>
      </c>
      <c r="I44" s="25">
        <v>0.35416666666666669</v>
      </c>
      <c r="J44" s="25">
        <v>0.44791666666666669</v>
      </c>
    </row>
    <row r="45" spans="1:10" ht="88.2" x14ac:dyDescent="0.2">
      <c r="A45" s="20">
        <v>45705</v>
      </c>
      <c r="B45" s="20" t="s">
        <v>21</v>
      </c>
      <c r="C45" s="22" t="s">
        <v>14</v>
      </c>
      <c r="D45" s="22" t="s">
        <v>15</v>
      </c>
      <c r="E45" s="22" t="s">
        <v>25</v>
      </c>
      <c r="F45" s="22" t="s">
        <v>17</v>
      </c>
      <c r="G45" s="23" t="s">
        <v>56</v>
      </c>
      <c r="H45" s="24">
        <f t="shared" si="0"/>
        <v>5.2083333333333315E-2</v>
      </c>
      <c r="I45" s="25">
        <v>0.44791666666666669</v>
      </c>
      <c r="J45" s="25">
        <v>0.5</v>
      </c>
    </row>
    <row r="46" spans="1:10" ht="75.599999999999994" x14ac:dyDescent="0.2">
      <c r="A46" s="20">
        <v>45705</v>
      </c>
      <c r="B46" s="20" t="s">
        <v>21</v>
      </c>
      <c r="C46" s="22" t="s">
        <v>14</v>
      </c>
      <c r="D46" s="22" t="s">
        <v>15</v>
      </c>
      <c r="E46" s="22" t="s">
        <v>57</v>
      </c>
      <c r="F46" s="22" t="s">
        <v>17</v>
      </c>
      <c r="G46" s="23" t="s">
        <v>58</v>
      </c>
      <c r="H46" s="24">
        <f t="shared" si="0"/>
        <v>4.1666666666666741E-2</v>
      </c>
      <c r="I46" s="25">
        <v>0.54166666666666663</v>
      </c>
      <c r="J46" s="25">
        <v>0.58333333333333337</v>
      </c>
    </row>
    <row r="47" spans="1:10" ht="75.599999999999994" x14ac:dyDescent="0.2">
      <c r="A47" s="20">
        <v>45705</v>
      </c>
      <c r="B47" s="20" t="s">
        <v>21</v>
      </c>
      <c r="C47" s="22" t="s">
        <v>14</v>
      </c>
      <c r="D47" s="22" t="s">
        <v>15</v>
      </c>
      <c r="E47" s="22" t="s">
        <v>22</v>
      </c>
      <c r="F47" s="22" t="s">
        <v>17</v>
      </c>
      <c r="G47" s="23" t="s">
        <v>59</v>
      </c>
      <c r="H47" s="24">
        <f t="shared" si="0"/>
        <v>2.777777777777779E-2</v>
      </c>
      <c r="I47" s="25">
        <v>0.58333333333333337</v>
      </c>
      <c r="J47" s="25">
        <v>0.61111111111111116</v>
      </c>
    </row>
    <row r="48" spans="1:10" ht="37.799999999999997" x14ac:dyDescent="0.2">
      <c r="A48" s="20">
        <v>45705</v>
      </c>
      <c r="B48" s="20" t="s">
        <v>21</v>
      </c>
      <c r="C48" s="22" t="s">
        <v>14</v>
      </c>
      <c r="D48" s="22" t="s">
        <v>15</v>
      </c>
      <c r="E48" s="22" t="s">
        <v>57</v>
      </c>
      <c r="F48" s="22" t="s">
        <v>17</v>
      </c>
      <c r="G48" s="23" t="s">
        <v>60</v>
      </c>
      <c r="H48" s="24">
        <f t="shared" si="0"/>
        <v>5.5555555555555469E-2</v>
      </c>
      <c r="I48" s="25">
        <v>0.61111111111111116</v>
      </c>
      <c r="J48" s="25">
        <v>0.66666666666666663</v>
      </c>
    </row>
    <row r="49" spans="1:10" ht="75.599999999999994" x14ac:dyDescent="0.2">
      <c r="A49" s="20">
        <v>45705</v>
      </c>
      <c r="B49" s="20" t="s">
        <v>21</v>
      </c>
      <c r="C49" s="22" t="s">
        <v>14</v>
      </c>
      <c r="D49" s="22" t="s">
        <v>15</v>
      </c>
      <c r="E49" s="22" t="s">
        <v>22</v>
      </c>
      <c r="F49" s="22" t="s">
        <v>17</v>
      </c>
      <c r="G49" s="23" t="s">
        <v>61</v>
      </c>
      <c r="H49" s="24">
        <f t="shared" si="0"/>
        <v>5.208333333333337E-2</v>
      </c>
      <c r="I49" s="25">
        <v>0.66666666666666663</v>
      </c>
      <c r="J49" s="25">
        <v>0.71875</v>
      </c>
    </row>
    <row r="50" spans="1:10" x14ac:dyDescent="0.2">
      <c r="A50" s="20">
        <v>45706</v>
      </c>
      <c r="B50" s="20" t="s">
        <v>28</v>
      </c>
      <c r="C50" s="22" t="s">
        <v>14</v>
      </c>
      <c r="D50" s="22" t="s">
        <v>15</v>
      </c>
      <c r="E50" s="22" t="s">
        <v>29</v>
      </c>
      <c r="F50" s="22" t="s">
        <v>17</v>
      </c>
      <c r="G50" s="23" t="s">
        <v>30</v>
      </c>
      <c r="H50" s="24">
        <f t="shared" si="0"/>
        <v>2.083333333333337E-2</v>
      </c>
      <c r="I50" s="25">
        <v>0.33333333333333331</v>
      </c>
      <c r="J50" s="25">
        <v>0.35416666666666669</v>
      </c>
    </row>
    <row r="51" spans="1:10" ht="50.4" x14ac:dyDescent="0.2">
      <c r="A51" s="20">
        <v>45706</v>
      </c>
      <c r="B51" s="20" t="s">
        <v>28</v>
      </c>
      <c r="C51" s="22" t="s">
        <v>14</v>
      </c>
      <c r="D51" s="22" t="s">
        <v>15</v>
      </c>
      <c r="E51" s="22" t="s">
        <v>22</v>
      </c>
      <c r="F51" s="22" t="s">
        <v>17</v>
      </c>
      <c r="G51" s="23" t="s">
        <v>62</v>
      </c>
      <c r="H51" s="24">
        <f t="shared" si="0"/>
        <v>2.4305555555555525E-2</v>
      </c>
      <c r="I51" s="25">
        <v>0.35416666666666669</v>
      </c>
      <c r="J51" s="25">
        <v>0.37847222222222221</v>
      </c>
    </row>
    <row r="52" spans="1:10" ht="63" x14ac:dyDescent="0.2">
      <c r="A52" s="20">
        <v>45706</v>
      </c>
      <c r="B52" s="20" t="s">
        <v>28</v>
      </c>
      <c r="C52" s="22" t="s">
        <v>14</v>
      </c>
      <c r="D52" s="22" t="s">
        <v>15</v>
      </c>
      <c r="E52" s="22" t="s">
        <v>25</v>
      </c>
      <c r="F52" s="22" t="s">
        <v>17</v>
      </c>
      <c r="G52" s="23" t="s">
        <v>63</v>
      </c>
      <c r="H52" s="24">
        <f t="shared" si="0"/>
        <v>0.12152777777777779</v>
      </c>
      <c r="I52" s="25">
        <v>0.37847222222222221</v>
      </c>
      <c r="J52" s="25">
        <v>0.5</v>
      </c>
    </row>
    <row r="53" spans="1:10" ht="126" x14ac:dyDescent="0.2">
      <c r="A53" s="20">
        <v>45706</v>
      </c>
      <c r="B53" s="20" t="s">
        <v>28</v>
      </c>
      <c r="C53" s="22" t="s">
        <v>14</v>
      </c>
      <c r="D53" s="22" t="s">
        <v>15</v>
      </c>
      <c r="E53" s="22" t="s">
        <v>25</v>
      </c>
      <c r="F53" s="22" t="s">
        <v>17</v>
      </c>
      <c r="G53" s="23" t="s">
        <v>64</v>
      </c>
      <c r="H53" s="24">
        <f t="shared" si="0"/>
        <v>0.125</v>
      </c>
      <c r="I53" s="25">
        <v>0.54166666666666663</v>
      </c>
      <c r="J53" s="25">
        <v>0.66666666666666663</v>
      </c>
    </row>
    <row r="54" spans="1:10" ht="138.6" x14ac:dyDescent="0.2">
      <c r="A54" s="20">
        <v>45706</v>
      </c>
      <c r="B54" s="20" t="s">
        <v>28</v>
      </c>
      <c r="C54" s="22" t="s">
        <v>14</v>
      </c>
      <c r="D54" s="22" t="s">
        <v>15</v>
      </c>
      <c r="E54" s="22" t="s">
        <v>22</v>
      </c>
      <c r="F54" s="22" t="s">
        <v>17</v>
      </c>
      <c r="G54" s="23" t="s">
        <v>65</v>
      </c>
      <c r="H54" s="24">
        <f t="shared" si="0"/>
        <v>5.555555555555558E-2</v>
      </c>
      <c r="I54" s="25">
        <v>0.66666666666666663</v>
      </c>
      <c r="J54" s="25">
        <v>0.72222222222222221</v>
      </c>
    </row>
    <row r="55" spans="1:10" x14ac:dyDescent="0.2">
      <c r="A55" s="20">
        <v>45707</v>
      </c>
      <c r="B55" s="20" t="s">
        <v>37</v>
      </c>
      <c r="C55" s="22" t="s">
        <v>14</v>
      </c>
      <c r="D55" s="22" t="s">
        <v>15</v>
      </c>
      <c r="E55" s="22" t="s">
        <v>29</v>
      </c>
      <c r="F55" s="22" t="s">
        <v>17</v>
      </c>
      <c r="G55" s="23" t="s">
        <v>30</v>
      </c>
      <c r="H55" s="24">
        <f t="shared" si="0"/>
        <v>2.083333333333337E-2</v>
      </c>
      <c r="I55" s="25">
        <v>0.33333333333333331</v>
      </c>
      <c r="J55" s="25">
        <v>0.35416666666666669</v>
      </c>
    </row>
    <row r="56" spans="1:10" ht="113.4" x14ac:dyDescent="0.2">
      <c r="A56" s="20">
        <v>45707</v>
      </c>
      <c r="B56" s="20" t="s">
        <v>37</v>
      </c>
      <c r="C56" s="22" t="s">
        <v>14</v>
      </c>
      <c r="D56" s="22" t="s">
        <v>15</v>
      </c>
      <c r="E56" s="22" t="s">
        <v>22</v>
      </c>
      <c r="F56" s="22" t="s">
        <v>17</v>
      </c>
      <c r="G56" s="23" t="s">
        <v>66</v>
      </c>
      <c r="H56" s="24">
        <f t="shared" si="0"/>
        <v>2.0833333333333315E-2</v>
      </c>
      <c r="I56" s="25">
        <v>0.35416666666666669</v>
      </c>
      <c r="J56" s="25">
        <v>0.375</v>
      </c>
    </row>
    <row r="57" spans="1:10" ht="25.2" x14ac:dyDescent="0.2">
      <c r="A57" s="20">
        <v>45707</v>
      </c>
      <c r="B57" s="20" t="s">
        <v>37</v>
      </c>
      <c r="C57" s="22" t="s">
        <v>14</v>
      </c>
      <c r="D57" s="22" t="s">
        <v>15</v>
      </c>
      <c r="E57" s="22" t="s">
        <v>25</v>
      </c>
      <c r="F57" s="22" t="s">
        <v>17</v>
      </c>
      <c r="G57" s="23" t="s">
        <v>67</v>
      </c>
      <c r="H57" s="24">
        <f t="shared" si="0"/>
        <v>8.3333333333333315E-2</v>
      </c>
      <c r="I57" s="25">
        <v>0.375</v>
      </c>
      <c r="J57" s="25">
        <v>0.45833333333333331</v>
      </c>
    </row>
    <row r="58" spans="1:10" ht="63" x14ac:dyDescent="0.2">
      <c r="A58" s="20">
        <v>45707</v>
      </c>
      <c r="B58" s="20" t="s">
        <v>37</v>
      </c>
      <c r="C58" s="22" t="s">
        <v>14</v>
      </c>
      <c r="D58" s="22" t="s">
        <v>15</v>
      </c>
      <c r="E58" s="22" t="s">
        <v>22</v>
      </c>
      <c r="F58" s="22" t="s">
        <v>17</v>
      </c>
      <c r="G58" s="23" t="s">
        <v>68</v>
      </c>
      <c r="H58" s="24">
        <f t="shared" si="0"/>
        <v>4.1666666666666685E-2</v>
      </c>
      <c r="I58" s="25">
        <v>0.45833333333333331</v>
      </c>
      <c r="J58" s="25">
        <v>0.5</v>
      </c>
    </row>
    <row r="59" spans="1:10" ht="63" x14ac:dyDescent="0.2">
      <c r="A59" s="20">
        <v>45707</v>
      </c>
      <c r="B59" s="20" t="s">
        <v>37</v>
      </c>
      <c r="C59" s="22" t="s">
        <v>14</v>
      </c>
      <c r="D59" s="22" t="s">
        <v>15</v>
      </c>
      <c r="E59" s="22" t="s">
        <v>25</v>
      </c>
      <c r="F59" s="22" t="s">
        <v>17</v>
      </c>
      <c r="G59" s="23" t="s">
        <v>69</v>
      </c>
      <c r="H59" s="24">
        <f t="shared" si="0"/>
        <v>0.125</v>
      </c>
      <c r="I59" s="25">
        <v>0.54166666666666663</v>
      </c>
      <c r="J59" s="25">
        <v>0.66666666666666663</v>
      </c>
    </row>
    <row r="60" spans="1:10" ht="151.19999999999999" x14ac:dyDescent="0.2">
      <c r="A60" s="20">
        <v>45707</v>
      </c>
      <c r="B60" s="20" t="s">
        <v>37</v>
      </c>
      <c r="C60" s="22" t="s">
        <v>14</v>
      </c>
      <c r="D60" s="22" t="s">
        <v>15</v>
      </c>
      <c r="E60" s="22" t="s">
        <v>22</v>
      </c>
      <c r="F60" s="22" t="s">
        <v>17</v>
      </c>
      <c r="G60" s="23" t="s">
        <v>70</v>
      </c>
      <c r="H60" s="24">
        <f t="shared" si="0"/>
        <v>7.2916666666666741E-2</v>
      </c>
      <c r="I60" s="25">
        <v>0.66666666666666663</v>
      </c>
      <c r="J60" s="25">
        <v>0.73958333333333337</v>
      </c>
    </row>
    <row r="61" spans="1:10" x14ac:dyDescent="0.2">
      <c r="A61" s="20">
        <v>45708</v>
      </c>
      <c r="B61" s="20" t="s">
        <v>42</v>
      </c>
      <c r="C61" s="22" t="s">
        <v>14</v>
      </c>
      <c r="D61" s="22" t="s">
        <v>15</v>
      </c>
      <c r="E61" s="22" t="s">
        <v>29</v>
      </c>
      <c r="F61" s="22" t="s">
        <v>17</v>
      </c>
      <c r="G61" s="23" t="s">
        <v>71</v>
      </c>
      <c r="H61" s="24">
        <f t="shared" si="0"/>
        <v>2.083333333333337E-2</v>
      </c>
      <c r="I61" s="25">
        <v>0.33333333333333331</v>
      </c>
      <c r="J61" s="25">
        <v>0.35416666666666669</v>
      </c>
    </row>
    <row r="62" spans="1:10" ht="63" x14ac:dyDescent="0.2">
      <c r="A62" s="20">
        <v>45708</v>
      </c>
      <c r="B62" s="20" t="s">
        <v>42</v>
      </c>
      <c r="C62" s="22" t="s">
        <v>14</v>
      </c>
      <c r="D62" s="22" t="s">
        <v>15</v>
      </c>
      <c r="E62" s="22" t="s">
        <v>22</v>
      </c>
      <c r="F62" s="22" t="s">
        <v>17</v>
      </c>
      <c r="G62" s="23" t="s">
        <v>72</v>
      </c>
      <c r="H62" s="24">
        <v>2.0833333333333332E-2</v>
      </c>
      <c r="I62" s="25">
        <v>0.35416666666666669</v>
      </c>
      <c r="J62" s="25">
        <v>0.375</v>
      </c>
    </row>
    <row r="63" spans="1:10" ht="25.2" x14ac:dyDescent="0.2">
      <c r="A63" s="20">
        <v>45708</v>
      </c>
      <c r="B63" s="20" t="s">
        <v>42</v>
      </c>
      <c r="C63" s="22" t="s">
        <v>14</v>
      </c>
      <c r="D63" s="22" t="s">
        <v>15</v>
      </c>
      <c r="E63" s="22" t="s">
        <v>25</v>
      </c>
      <c r="F63" s="22" t="s">
        <v>17</v>
      </c>
      <c r="G63" s="23" t="s">
        <v>73</v>
      </c>
      <c r="H63" s="24">
        <v>8.3333333333333329E-2</v>
      </c>
      <c r="I63" s="25">
        <v>0.375</v>
      </c>
      <c r="J63" s="25">
        <v>0.45833333333333331</v>
      </c>
    </row>
    <row r="64" spans="1:10" ht="63" x14ac:dyDescent="0.2">
      <c r="A64" s="20">
        <v>45708</v>
      </c>
      <c r="B64" s="20" t="s">
        <v>42</v>
      </c>
      <c r="C64" s="22" t="s">
        <v>14</v>
      </c>
      <c r="D64" s="22" t="s">
        <v>15</v>
      </c>
      <c r="E64" s="22" t="s">
        <v>22</v>
      </c>
      <c r="F64" s="22" t="s">
        <v>17</v>
      </c>
      <c r="G64" s="23" t="s">
        <v>74</v>
      </c>
      <c r="H64" s="24">
        <v>4.1666666666666664E-2</v>
      </c>
      <c r="I64" s="25">
        <v>0.45833333333333331</v>
      </c>
      <c r="J64" s="25">
        <v>0.5</v>
      </c>
    </row>
    <row r="65" spans="1:10" ht="50.4" x14ac:dyDescent="0.2">
      <c r="A65" s="20">
        <v>45708</v>
      </c>
      <c r="B65" s="20" t="s">
        <v>42</v>
      </c>
      <c r="C65" s="22" t="s">
        <v>14</v>
      </c>
      <c r="D65" s="22" t="s">
        <v>15</v>
      </c>
      <c r="E65" s="22" t="s">
        <v>25</v>
      </c>
      <c r="F65" s="22" t="s">
        <v>17</v>
      </c>
      <c r="G65" s="23" t="s">
        <v>75</v>
      </c>
      <c r="H65" s="24">
        <v>0.125</v>
      </c>
      <c r="I65" s="25">
        <v>0.54166666666666663</v>
      </c>
      <c r="J65" s="25">
        <v>0.66666666666666663</v>
      </c>
    </row>
    <row r="66" spans="1:10" ht="113.4" x14ac:dyDescent="0.2">
      <c r="A66" s="20">
        <v>45708</v>
      </c>
      <c r="B66" s="20" t="s">
        <v>42</v>
      </c>
      <c r="C66" s="22" t="s">
        <v>14</v>
      </c>
      <c r="D66" s="22" t="s">
        <v>15</v>
      </c>
      <c r="E66" s="22" t="s">
        <v>22</v>
      </c>
      <c r="F66" s="22" t="s">
        <v>17</v>
      </c>
      <c r="G66" s="23" t="s">
        <v>76</v>
      </c>
      <c r="H66" s="24">
        <v>5.5555555555555552E-2</v>
      </c>
      <c r="I66" s="25">
        <v>0.66666666666666663</v>
      </c>
      <c r="J66" s="25">
        <v>0.72222222222222221</v>
      </c>
    </row>
    <row r="67" spans="1:10" ht="37.799999999999997" x14ac:dyDescent="0.2">
      <c r="A67" s="20">
        <v>45709</v>
      </c>
      <c r="B67" s="20" t="s">
        <v>13</v>
      </c>
      <c r="C67" s="22" t="s">
        <v>14</v>
      </c>
      <c r="D67" s="22" t="s">
        <v>15</v>
      </c>
      <c r="E67" s="22" t="s">
        <v>29</v>
      </c>
      <c r="F67" s="22" t="s">
        <v>17</v>
      </c>
      <c r="G67" s="23" t="s">
        <v>77</v>
      </c>
      <c r="H67" s="24">
        <f t="shared" si="0"/>
        <v>2.083333333333337E-2</v>
      </c>
      <c r="I67" s="25">
        <v>0.33333333333333331</v>
      </c>
      <c r="J67" s="25">
        <v>0.35416666666666669</v>
      </c>
    </row>
    <row r="68" spans="1:10" ht="100.8" x14ac:dyDescent="0.2">
      <c r="A68" s="20">
        <v>45709</v>
      </c>
      <c r="B68" s="20" t="s">
        <v>13</v>
      </c>
      <c r="C68" s="22" t="s">
        <v>14</v>
      </c>
      <c r="D68" s="22" t="s">
        <v>15</v>
      </c>
      <c r="E68" s="22" t="s">
        <v>22</v>
      </c>
      <c r="F68" s="22" t="s">
        <v>17</v>
      </c>
      <c r="G68" s="23" t="s">
        <v>78</v>
      </c>
      <c r="H68" s="24">
        <v>2.7777777777777776E-2</v>
      </c>
      <c r="I68" s="25">
        <v>0.35416666666666669</v>
      </c>
      <c r="J68" s="25">
        <v>0.38194444444444442</v>
      </c>
    </row>
    <row r="69" spans="1:10" ht="25.2" x14ac:dyDescent="0.2">
      <c r="A69" s="20">
        <v>45709</v>
      </c>
      <c r="B69" s="20" t="s">
        <v>13</v>
      </c>
      <c r="C69" s="22" t="s">
        <v>14</v>
      </c>
      <c r="D69" s="22" t="s">
        <v>15</v>
      </c>
      <c r="E69" s="22" t="s">
        <v>25</v>
      </c>
      <c r="F69" s="22" t="s">
        <v>17</v>
      </c>
      <c r="G69" s="23" t="s">
        <v>79</v>
      </c>
      <c r="H69" s="24">
        <v>4.1666666666666664E-2</v>
      </c>
      <c r="I69" s="25">
        <v>0.375</v>
      </c>
      <c r="J69" s="25">
        <v>0.41666666666666669</v>
      </c>
    </row>
    <row r="70" spans="1:10" x14ac:dyDescent="0.2">
      <c r="A70" s="20">
        <v>45709</v>
      </c>
      <c r="B70" s="20" t="s">
        <v>13</v>
      </c>
      <c r="C70" s="22" t="s">
        <v>14</v>
      </c>
      <c r="D70" s="22" t="s">
        <v>15</v>
      </c>
      <c r="E70" s="22" t="s">
        <v>22</v>
      </c>
      <c r="F70" s="22" t="s">
        <v>17</v>
      </c>
      <c r="G70" s="23" t="s">
        <v>80</v>
      </c>
      <c r="H70" s="24">
        <v>5.5555555555555552E-2</v>
      </c>
      <c r="I70" s="25">
        <v>0.41666666666666669</v>
      </c>
      <c r="J70" s="25">
        <v>0.47222222222222221</v>
      </c>
    </row>
    <row r="71" spans="1:10" ht="37.799999999999997" x14ac:dyDescent="0.2">
      <c r="A71" s="20">
        <v>45709</v>
      </c>
      <c r="B71" s="20" t="s">
        <v>13</v>
      </c>
      <c r="C71" s="22" t="s">
        <v>14</v>
      </c>
      <c r="D71" s="22" t="s">
        <v>15</v>
      </c>
      <c r="E71" s="22" t="s">
        <v>25</v>
      </c>
      <c r="F71" s="22" t="s">
        <v>17</v>
      </c>
      <c r="G71" s="23" t="s">
        <v>81</v>
      </c>
      <c r="H71" s="24">
        <v>2.7777777777777776E-2</v>
      </c>
      <c r="I71" s="25">
        <v>0.47222222222222221</v>
      </c>
      <c r="J71" s="25">
        <v>0.5</v>
      </c>
    </row>
    <row r="72" spans="1:10" ht="37.799999999999997" x14ac:dyDescent="0.2">
      <c r="A72" s="20">
        <v>45709</v>
      </c>
      <c r="B72" s="20" t="s">
        <v>13</v>
      </c>
      <c r="C72" s="22" t="s">
        <v>14</v>
      </c>
      <c r="D72" s="22" t="s">
        <v>15</v>
      </c>
      <c r="E72" s="22" t="s">
        <v>25</v>
      </c>
      <c r="F72" s="22" t="s">
        <v>17</v>
      </c>
      <c r="G72" s="23" t="s">
        <v>82</v>
      </c>
      <c r="H72" s="24">
        <v>0.125</v>
      </c>
      <c r="I72" s="25">
        <v>0.54166666666666663</v>
      </c>
      <c r="J72" s="25">
        <v>0.66666666666666663</v>
      </c>
    </row>
    <row r="73" spans="1:10" x14ac:dyDescent="0.2">
      <c r="A73" s="20">
        <v>45709</v>
      </c>
      <c r="B73" s="20" t="s">
        <v>13</v>
      </c>
      <c r="C73" s="22" t="s">
        <v>14</v>
      </c>
      <c r="D73" s="22" t="s">
        <v>15</v>
      </c>
      <c r="E73" s="22" t="s">
        <v>22</v>
      </c>
      <c r="F73" s="22" t="s">
        <v>17</v>
      </c>
      <c r="G73" s="23" t="s">
        <v>83</v>
      </c>
      <c r="H73" s="24">
        <v>4.1666666666666664E-2</v>
      </c>
      <c r="I73" s="25">
        <v>0.66666666666666663</v>
      </c>
      <c r="J73" s="25">
        <v>0.70833333333333337</v>
      </c>
    </row>
    <row r="74" spans="1:10" x14ac:dyDescent="0.2">
      <c r="A74" s="26">
        <v>45710</v>
      </c>
      <c r="B74" s="26" t="s">
        <v>19</v>
      </c>
      <c r="C74" s="27"/>
      <c r="D74" s="27"/>
      <c r="E74" s="27"/>
      <c r="F74" s="27"/>
      <c r="G74" s="28"/>
      <c r="H74" s="29">
        <f t="shared" si="0"/>
        <v>0</v>
      </c>
      <c r="I74" s="30"/>
      <c r="J74" s="30"/>
    </row>
    <row r="75" spans="1:10" x14ac:dyDescent="0.2">
      <c r="A75" s="26">
        <v>45711</v>
      </c>
      <c r="B75" s="26" t="s">
        <v>20</v>
      </c>
      <c r="C75" s="27"/>
      <c r="D75" s="27"/>
      <c r="E75" s="27"/>
      <c r="F75" s="27"/>
      <c r="G75" s="28"/>
      <c r="H75" s="29">
        <f t="shared" si="0"/>
        <v>0</v>
      </c>
      <c r="I75" s="30"/>
      <c r="J75" s="30"/>
    </row>
    <row r="76" spans="1:10" ht="25.2" x14ac:dyDescent="0.2">
      <c r="A76" s="20">
        <v>45712</v>
      </c>
      <c r="B76" s="20" t="s">
        <v>21</v>
      </c>
      <c r="C76" s="22" t="s">
        <v>14</v>
      </c>
      <c r="D76" s="22" t="s">
        <v>15</v>
      </c>
      <c r="E76" s="22" t="s">
        <v>29</v>
      </c>
      <c r="F76" s="22" t="s">
        <v>17</v>
      </c>
      <c r="G76" s="23" t="s">
        <v>84</v>
      </c>
      <c r="H76" s="24">
        <f t="shared" si="0"/>
        <v>2.083333333333337E-2</v>
      </c>
      <c r="I76" s="25">
        <v>0.33333333333333331</v>
      </c>
      <c r="J76" s="25">
        <v>0.35416666666666669</v>
      </c>
    </row>
    <row r="77" spans="1:10" ht="100.8" x14ac:dyDescent="0.2">
      <c r="A77" s="20">
        <v>45712</v>
      </c>
      <c r="B77" s="20" t="s">
        <v>21</v>
      </c>
      <c r="C77" s="22" t="s">
        <v>14</v>
      </c>
      <c r="D77" s="22" t="s">
        <v>15</v>
      </c>
      <c r="E77" s="22" t="s">
        <v>22</v>
      </c>
      <c r="F77" s="22" t="s">
        <v>17</v>
      </c>
      <c r="G77" s="23" t="s">
        <v>85</v>
      </c>
      <c r="H77" s="24">
        <f t="shared" si="0"/>
        <v>2.7777777777777735E-2</v>
      </c>
      <c r="I77" s="25">
        <v>0.35416666666666669</v>
      </c>
      <c r="J77" s="25">
        <v>0.38194444444444442</v>
      </c>
    </row>
    <row r="78" spans="1:10" ht="37.799999999999997" x14ac:dyDescent="0.2">
      <c r="A78" s="20">
        <v>45712</v>
      </c>
      <c r="B78" s="20" t="s">
        <v>21</v>
      </c>
      <c r="C78" s="22" t="s">
        <v>14</v>
      </c>
      <c r="D78" s="22" t="s">
        <v>15</v>
      </c>
      <c r="E78" s="22" t="s">
        <v>25</v>
      </c>
      <c r="F78" s="22" t="s">
        <v>17</v>
      </c>
      <c r="G78" s="23" t="s">
        <v>86</v>
      </c>
      <c r="H78" s="24">
        <f t="shared" si="0"/>
        <v>0.11805555555555558</v>
      </c>
      <c r="I78" s="25">
        <v>0.38194444444444442</v>
      </c>
      <c r="J78" s="25">
        <v>0.5</v>
      </c>
    </row>
    <row r="79" spans="1:10" x14ac:dyDescent="0.2">
      <c r="A79" s="20">
        <v>45712</v>
      </c>
      <c r="B79" s="20" t="s">
        <v>21</v>
      </c>
      <c r="C79" s="22" t="s">
        <v>14</v>
      </c>
      <c r="D79" s="22" t="s">
        <v>15</v>
      </c>
      <c r="E79" s="22" t="s">
        <v>25</v>
      </c>
      <c r="F79" s="22" t="s">
        <v>17</v>
      </c>
      <c r="G79" s="23" t="s">
        <v>87</v>
      </c>
      <c r="H79" s="24">
        <f t="shared" si="0"/>
        <v>2.083333333333337E-2</v>
      </c>
      <c r="I79" s="25">
        <v>0.54166666666666663</v>
      </c>
      <c r="J79" s="25">
        <v>0.5625</v>
      </c>
    </row>
    <row r="80" spans="1:10" ht="37.799999999999997" x14ac:dyDescent="0.2">
      <c r="A80" s="20">
        <v>45712</v>
      </c>
      <c r="B80" s="20" t="s">
        <v>21</v>
      </c>
      <c r="C80" s="22" t="s">
        <v>14</v>
      </c>
      <c r="D80" s="22" t="s">
        <v>15</v>
      </c>
      <c r="E80" s="22" t="s">
        <v>22</v>
      </c>
      <c r="F80" s="22" t="s">
        <v>17</v>
      </c>
      <c r="G80" s="23" t="s">
        <v>88</v>
      </c>
      <c r="H80" s="24">
        <f t="shared" si="0"/>
        <v>1.041666666666663E-2</v>
      </c>
      <c r="I80" s="25">
        <v>0.5625</v>
      </c>
      <c r="J80" s="25">
        <v>0.57291666666666663</v>
      </c>
    </row>
    <row r="81" spans="1:10" ht="50.4" x14ac:dyDescent="0.2">
      <c r="A81" s="20">
        <v>45712</v>
      </c>
      <c r="B81" s="20" t="s">
        <v>21</v>
      </c>
      <c r="C81" s="22" t="s">
        <v>14</v>
      </c>
      <c r="D81" s="22" t="s">
        <v>15</v>
      </c>
      <c r="E81" s="22" t="s">
        <v>22</v>
      </c>
      <c r="F81" s="22" t="s">
        <v>17</v>
      </c>
      <c r="G81" s="23" t="s">
        <v>89</v>
      </c>
      <c r="H81" s="24">
        <f t="shared" si="0"/>
        <v>2.083333333333337E-2</v>
      </c>
      <c r="I81" s="25">
        <v>0.57291666666666663</v>
      </c>
      <c r="J81" s="25">
        <v>0.59375</v>
      </c>
    </row>
    <row r="82" spans="1:10" ht="37.799999999999997" x14ac:dyDescent="0.2">
      <c r="A82" s="20">
        <v>45712</v>
      </c>
      <c r="B82" s="20" t="s">
        <v>21</v>
      </c>
      <c r="C82" s="22" t="s">
        <v>14</v>
      </c>
      <c r="D82" s="22" t="s">
        <v>15</v>
      </c>
      <c r="E82" s="22" t="s">
        <v>25</v>
      </c>
      <c r="F82" s="22" t="s">
        <v>17</v>
      </c>
      <c r="G82" s="23" t="s">
        <v>90</v>
      </c>
      <c r="H82" s="24">
        <f t="shared" si="0"/>
        <v>7.291666666666663E-2</v>
      </c>
      <c r="I82" s="25">
        <v>0.59375</v>
      </c>
      <c r="J82" s="25">
        <v>0.66666666666666663</v>
      </c>
    </row>
    <row r="83" spans="1:10" ht="113.4" x14ac:dyDescent="0.2">
      <c r="A83" s="20">
        <v>45712</v>
      </c>
      <c r="B83" s="20" t="s">
        <v>21</v>
      </c>
      <c r="C83" s="22" t="s">
        <v>14</v>
      </c>
      <c r="D83" s="22" t="s">
        <v>15</v>
      </c>
      <c r="E83" s="22" t="s">
        <v>22</v>
      </c>
      <c r="F83" s="22" t="s">
        <v>17</v>
      </c>
      <c r="G83" s="23" t="s">
        <v>91</v>
      </c>
      <c r="H83" s="24">
        <f t="shared" si="0"/>
        <v>5.208333333333337E-2</v>
      </c>
      <c r="I83" s="25">
        <v>0.66666666666666663</v>
      </c>
      <c r="J83" s="25">
        <v>0.71875</v>
      </c>
    </row>
    <row r="84" spans="1:10" ht="25.2" x14ac:dyDescent="0.2">
      <c r="A84" s="20">
        <v>45713</v>
      </c>
      <c r="B84" s="20" t="s">
        <v>28</v>
      </c>
      <c r="C84" s="22" t="s">
        <v>14</v>
      </c>
      <c r="D84" s="22" t="s">
        <v>15</v>
      </c>
      <c r="E84" s="22" t="s">
        <v>29</v>
      </c>
      <c r="F84" s="22" t="s">
        <v>17</v>
      </c>
      <c r="G84" s="23" t="s">
        <v>92</v>
      </c>
      <c r="H84" s="24">
        <f t="shared" si="0"/>
        <v>2.083333333333337E-2</v>
      </c>
      <c r="I84" s="25">
        <v>0.33333333333333331</v>
      </c>
      <c r="J84" s="25">
        <v>0.35416666666666669</v>
      </c>
    </row>
    <row r="85" spans="1:10" ht="100.8" x14ac:dyDescent="0.2">
      <c r="A85" s="20">
        <v>45713</v>
      </c>
      <c r="B85" s="20" t="s">
        <v>28</v>
      </c>
      <c r="C85" s="22" t="s">
        <v>14</v>
      </c>
      <c r="D85" s="22" t="s">
        <v>15</v>
      </c>
      <c r="E85" s="22" t="s">
        <v>22</v>
      </c>
      <c r="F85" s="22" t="s">
        <v>17</v>
      </c>
      <c r="G85" s="23" t="s">
        <v>93</v>
      </c>
      <c r="H85" s="24">
        <f t="shared" si="0"/>
        <v>2.4305555555555525E-2</v>
      </c>
      <c r="I85" s="25">
        <v>0.35416666666666669</v>
      </c>
      <c r="J85" s="25">
        <v>0.37847222222222221</v>
      </c>
    </row>
    <row r="86" spans="1:10" ht="50.4" x14ac:dyDescent="0.2">
      <c r="A86" s="20">
        <v>45713</v>
      </c>
      <c r="B86" s="20" t="s">
        <v>28</v>
      </c>
      <c r="C86" s="22" t="s">
        <v>14</v>
      </c>
      <c r="D86" s="22" t="s">
        <v>15</v>
      </c>
      <c r="E86" s="22" t="s">
        <v>25</v>
      </c>
      <c r="F86" s="22" t="s">
        <v>17</v>
      </c>
      <c r="G86" s="23" t="s">
        <v>94</v>
      </c>
      <c r="H86" s="24">
        <f t="shared" si="0"/>
        <v>7.9861111111111105E-2</v>
      </c>
      <c r="I86" s="25">
        <v>0.37847222222222221</v>
      </c>
      <c r="J86" s="25">
        <v>0.45833333333333331</v>
      </c>
    </row>
    <row r="87" spans="1:10" ht="88.2" x14ac:dyDescent="0.2">
      <c r="A87" s="20">
        <v>45713</v>
      </c>
      <c r="B87" s="20" t="s">
        <v>28</v>
      </c>
      <c r="C87" s="22" t="s">
        <v>14</v>
      </c>
      <c r="D87" s="22" t="s">
        <v>15</v>
      </c>
      <c r="E87" s="22" t="s">
        <v>22</v>
      </c>
      <c r="F87" s="22" t="s">
        <v>17</v>
      </c>
      <c r="G87" s="23" t="s">
        <v>95</v>
      </c>
      <c r="H87" s="24">
        <f t="shared" si="0"/>
        <v>4.1666666666666685E-2</v>
      </c>
      <c r="I87" s="25">
        <v>0.45833333333333331</v>
      </c>
      <c r="J87" s="25">
        <v>0.5</v>
      </c>
    </row>
    <row r="88" spans="1:10" ht="88.2" x14ac:dyDescent="0.2">
      <c r="A88" s="20">
        <v>45713</v>
      </c>
      <c r="B88" s="20" t="s">
        <v>28</v>
      </c>
      <c r="C88" s="22" t="s">
        <v>14</v>
      </c>
      <c r="D88" s="22" t="s">
        <v>15</v>
      </c>
      <c r="E88" s="22" t="s">
        <v>25</v>
      </c>
      <c r="F88" s="22" t="s">
        <v>17</v>
      </c>
      <c r="G88" s="23" t="s">
        <v>96</v>
      </c>
      <c r="H88" s="24">
        <f t="shared" si="0"/>
        <v>0.125</v>
      </c>
      <c r="I88" s="25">
        <v>0.54166666666666663</v>
      </c>
      <c r="J88" s="25">
        <v>0.66666666666666663</v>
      </c>
    </row>
    <row r="89" spans="1:10" x14ac:dyDescent="0.2">
      <c r="A89" s="20">
        <v>45713</v>
      </c>
      <c r="B89" s="20" t="s">
        <v>28</v>
      </c>
      <c r="C89" s="22" t="s">
        <v>14</v>
      </c>
      <c r="D89" s="22" t="s">
        <v>15</v>
      </c>
      <c r="E89" s="22" t="s">
        <v>22</v>
      </c>
      <c r="F89" s="22" t="s">
        <v>17</v>
      </c>
      <c r="G89" s="23"/>
      <c r="H89" s="24">
        <f t="shared" si="0"/>
        <v>5.208333333333337E-2</v>
      </c>
      <c r="I89" s="25">
        <v>0.66666666666666663</v>
      </c>
      <c r="J89" s="25">
        <v>0.71875</v>
      </c>
    </row>
    <row r="90" spans="1:10" ht="25.2" x14ac:dyDescent="0.2">
      <c r="A90" s="20">
        <v>45714</v>
      </c>
      <c r="B90" s="20" t="s">
        <v>37</v>
      </c>
      <c r="C90" s="22" t="s">
        <v>14</v>
      </c>
      <c r="D90" s="22" t="s">
        <v>15</v>
      </c>
      <c r="E90" s="22" t="s">
        <v>29</v>
      </c>
      <c r="F90" s="22" t="s">
        <v>17</v>
      </c>
      <c r="G90" s="23" t="s">
        <v>97</v>
      </c>
      <c r="H90" s="24">
        <f t="shared" si="0"/>
        <v>2.083333333333337E-2</v>
      </c>
      <c r="I90" s="25">
        <v>0.33333333333333331</v>
      </c>
      <c r="J90" s="25">
        <v>0.35416666666666669</v>
      </c>
    </row>
    <row r="91" spans="1:10" ht="75.599999999999994" x14ac:dyDescent="0.2">
      <c r="A91" s="20">
        <v>45714</v>
      </c>
      <c r="B91" s="20" t="s">
        <v>37</v>
      </c>
      <c r="C91" s="22" t="s">
        <v>14</v>
      </c>
      <c r="D91" s="22" t="s">
        <v>15</v>
      </c>
      <c r="E91" s="22" t="s">
        <v>22</v>
      </c>
      <c r="F91" s="22" t="s">
        <v>17</v>
      </c>
      <c r="G91" s="23" t="s">
        <v>98</v>
      </c>
      <c r="H91" s="24">
        <f t="shared" si="0"/>
        <v>3.125E-2</v>
      </c>
      <c r="I91" s="25">
        <v>0.35416666666666669</v>
      </c>
      <c r="J91" s="25">
        <v>0.38541666666666669</v>
      </c>
    </row>
    <row r="92" spans="1:10" ht="37.799999999999997" x14ac:dyDescent="0.2">
      <c r="A92" s="20">
        <v>45714</v>
      </c>
      <c r="B92" s="20" t="s">
        <v>37</v>
      </c>
      <c r="C92" s="22" t="s">
        <v>14</v>
      </c>
      <c r="D92" s="22" t="s">
        <v>15</v>
      </c>
      <c r="E92" s="22" t="s">
        <v>25</v>
      </c>
      <c r="F92" s="22" t="s">
        <v>17</v>
      </c>
      <c r="G92" s="23" t="s">
        <v>99</v>
      </c>
      <c r="H92" s="24">
        <f t="shared" si="0"/>
        <v>7.291666666666663E-2</v>
      </c>
      <c r="I92" s="25">
        <v>0.38541666666666669</v>
      </c>
      <c r="J92" s="25">
        <v>0.45833333333333331</v>
      </c>
    </row>
    <row r="93" spans="1:10" ht="88.2" x14ac:dyDescent="0.2">
      <c r="A93" s="20">
        <v>45714</v>
      </c>
      <c r="B93" s="20" t="s">
        <v>37</v>
      </c>
      <c r="C93" s="22" t="s">
        <v>14</v>
      </c>
      <c r="D93" s="22" t="s">
        <v>15</v>
      </c>
      <c r="E93" s="22" t="s">
        <v>22</v>
      </c>
      <c r="F93" s="22" t="s">
        <v>17</v>
      </c>
      <c r="G93" s="23" t="s">
        <v>100</v>
      </c>
      <c r="H93" s="24">
        <f t="shared" si="0"/>
        <v>4.1666666666666685E-2</v>
      </c>
      <c r="I93" s="25">
        <v>0.45833333333333331</v>
      </c>
      <c r="J93" s="25">
        <v>0.5</v>
      </c>
    </row>
    <row r="94" spans="1:10" ht="50.4" x14ac:dyDescent="0.2">
      <c r="A94" s="20">
        <v>45714</v>
      </c>
      <c r="B94" s="20" t="s">
        <v>37</v>
      </c>
      <c r="C94" s="22" t="s">
        <v>14</v>
      </c>
      <c r="D94" s="22" t="s">
        <v>15</v>
      </c>
      <c r="E94" s="22" t="s">
        <v>25</v>
      </c>
      <c r="F94" s="22" t="s">
        <v>17</v>
      </c>
      <c r="G94" s="23" t="s">
        <v>101</v>
      </c>
      <c r="H94" s="24">
        <f t="shared" si="0"/>
        <v>0.125</v>
      </c>
      <c r="I94" s="25">
        <v>0.54166666666666663</v>
      </c>
      <c r="J94" s="25">
        <v>0.66666666666666663</v>
      </c>
    </row>
    <row r="95" spans="1:10" ht="163.80000000000001" x14ac:dyDescent="0.2">
      <c r="A95" s="20">
        <v>45714</v>
      </c>
      <c r="B95" s="20" t="s">
        <v>37</v>
      </c>
      <c r="C95" s="22" t="s">
        <v>14</v>
      </c>
      <c r="D95" s="22" t="s">
        <v>15</v>
      </c>
      <c r="E95" s="22" t="s">
        <v>22</v>
      </c>
      <c r="F95" s="22" t="s">
        <v>17</v>
      </c>
      <c r="G95" s="23" t="s">
        <v>102</v>
      </c>
      <c r="H95" s="24">
        <f t="shared" si="0"/>
        <v>5.3472222222222254E-2</v>
      </c>
      <c r="I95" s="25">
        <v>0.66666666666666663</v>
      </c>
      <c r="J95" s="25">
        <v>0.72013888888888888</v>
      </c>
    </row>
    <row r="96" spans="1:10" ht="25.2" x14ac:dyDescent="0.2">
      <c r="A96" s="20">
        <v>45715</v>
      </c>
      <c r="B96" s="20" t="s">
        <v>42</v>
      </c>
      <c r="C96" s="22" t="s">
        <v>14</v>
      </c>
      <c r="D96" s="22" t="s">
        <v>15</v>
      </c>
      <c r="E96" s="22" t="s">
        <v>29</v>
      </c>
      <c r="F96" s="22" t="s">
        <v>17</v>
      </c>
      <c r="G96" s="23" t="s">
        <v>103</v>
      </c>
      <c r="H96" s="24">
        <f t="shared" si="0"/>
        <v>2.083333333333337E-2</v>
      </c>
      <c r="I96" s="25">
        <v>0.33333333333333331</v>
      </c>
      <c r="J96" s="25">
        <v>0.35416666666666669</v>
      </c>
    </row>
    <row r="97" spans="1:10" ht="88.2" x14ac:dyDescent="0.2">
      <c r="A97" s="20">
        <v>45715</v>
      </c>
      <c r="B97" s="20" t="s">
        <v>42</v>
      </c>
      <c r="C97" s="22" t="s">
        <v>14</v>
      </c>
      <c r="D97" s="22" t="s">
        <v>15</v>
      </c>
      <c r="E97" s="22" t="s">
        <v>22</v>
      </c>
      <c r="F97" s="22" t="s">
        <v>17</v>
      </c>
      <c r="G97" s="23" t="s">
        <v>104</v>
      </c>
      <c r="H97" s="24">
        <f t="shared" si="0"/>
        <v>3.125E-2</v>
      </c>
      <c r="I97" s="25">
        <v>0.35416666666666669</v>
      </c>
      <c r="J97" s="25">
        <v>0.38541666666666669</v>
      </c>
    </row>
    <row r="98" spans="1:10" ht="25.2" x14ac:dyDescent="0.2">
      <c r="A98" s="20">
        <v>45715</v>
      </c>
      <c r="B98" s="20" t="s">
        <v>42</v>
      </c>
      <c r="C98" s="22" t="s">
        <v>14</v>
      </c>
      <c r="D98" s="22" t="s">
        <v>15</v>
      </c>
      <c r="E98" s="22" t="s">
        <v>25</v>
      </c>
      <c r="F98" s="22" t="s">
        <v>17</v>
      </c>
      <c r="G98" s="23" t="s">
        <v>105</v>
      </c>
      <c r="H98" s="24">
        <f t="shared" si="0"/>
        <v>0.11458333333333331</v>
      </c>
      <c r="I98" s="25">
        <v>0.38541666666666669</v>
      </c>
      <c r="J98" s="25">
        <v>0.5</v>
      </c>
    </row>
    <row r="99" spans="1:10" ht="37.799999999999997" x14ac:dyDescent="0.2">
      <c r="A99" s="20">
        <v>45715</v>
      </c>
      <c r="B99" s="20" t="s">
        <v>42</v>
      </c>
      <c r="C99" s="22" t="s">
        <v>14</v>
      </c>
      <c r="D99" s="22" t="s">
        <v>15</v>
      </c>
      <c r="E99" s="22" t="s">
        <v>25</v>
      </c>
      <c r="F99" s="22" t="s">
        <v>17</v>
      </c>
      <c r="G99" s="23" t="s">
        <v>106</v>
      </c>
      <c r="H99" s="24">
        <f t="shared" si="0"/>
        <v>0.125</v>
      </c>
      <c r="I99" s="25">
        <v>0.54166666666666663</v>
      </c>
      <c r="J99" s="25">
        <v>0.66666666666666663</v>
      </c>
    </row>
    <row r="100" spans="1:10" ht="163.80000000000001" x14ac:dyDescent="0.2">
      <c r="A100" s="20">
        <v>45715</v>
      </c>
      <c r="B100" s="20" t="s">
        <v>42</v>
      </c>
      <c r="C100" s="22" t="s">
        <v>14</v>
      </c>
      <c r="D100" s="22" t="s">
        <v>15</v>
      </c>
      <c r="E100" s="22" t="s">
        <v>22</v>
      </c>
      <c r="F100" s="22" t="s">
        <v>17</v>
      </c>
      <c r="G100" s="23" t="s">
        <v>107</v>
      </c>
      <c r="H100" s="24">
        <f t="shared" si="0"/>
        <v>6.25E-2</v>
      </c>
      <c r="I100" s="25">
        <v>0.66666666666666663</v>
      </c>
      <c r="J100" s="25">
        <v>0.72916666666666663</v>
      </c>
    </row>
    <row r="101" spans="1:10" ht="25.2" x14ac:dyDescent="0.2">
      <c r="A101" s="20">
        <v>45716</v>
      </c>
      <c r="B101" s="20" t="s">
        <v>13</v>
      </c>
      <c r="C101" s="22" t="s">
        <v>14</v>
      </c>
      <c r="D101" s="22" t="s">
        <v>15</v>
      </c>
      <c r="E101" s="22" t="s">
        <v>29</v>
      </c>
      <c r="F101" s="22" t="s">
        <v>17</v>
      </c>
      <c r="G101" s="23" t="s">
        <v>108</v>
      </c>
      <c r="H101" s="24">
        <f t="shared" ref="H101:H105" si="1">J101-I101</f>
        <v>2.083333333333337E-2</v>
      </c>
      <c r="I101" s="25">
        <v>0.33333333333333331</v>
      </c>
      <c r="J101" s="25">
        <v>0.35416666666666669</v>
      </c>
    </row>
    <row r="102" spans="1:10" ht="88.2" x14ac:dyDescent="0.2">
      <c r="A102" s="20">
        <v>45716</v>
      </c>
      <c r="B102" s="20" t="s">
        <v>13</v>
      </c>
      <c r="C102" s="22" t="s">
        <v>14</v>
      </c>
      <c r="D102" s="22" t="s">
        <v>15</v>
      </c>
      <c r="E102" s="22" t="s">
        <v>22</v>
      </c>
      <c r="F102" s="22" t="s">
        <v>17</v>
      </c>
      <c r="G102" s="23" t="s">
        <v>109</v>
      </c>
      <c r="H102" s="24">
        <f t="shared" si="1"/>
        <v>3.125E-2</v>
      </c>
      <c r="I102" s="25">
        <v>0.35416666666666669</v>
      </c>
      <c r="J102" s="25">
        <v>0.38541666666666669</v>
      </c>
    </row>
    <row r="103" spans="1:10" ht="25.2" x14ac:dyDescent="0.2">
      <c r="A103" s="20">
        <v>45716</v>
      </c>
      <c r="B103" s="20" t="s">
        <v>13</v>
      </c>
      <c r="C103" s="22" t="s">
        <v>14</v>
      </c>
      <c r="D103" s="22" t="s">
        <v>15</v>
      </c>
      <c r="E103" s="22" t="s">
        <v>25</v>
      </c>
      <c r="F103" s="22" t="s">
        <v>17</v>
      </c>
      <c r="G103" s="23" t="s">
        <v>110</v>
      </c>
      <c r="H103" s="24">
        <f t="shared" si="1"/>
        <v>0.11458333333333331</v>
      </c>
      <c r="I103" s="25">
        <v>0.38541666666666669</v>
      </c>
      <c r="J103" s="25">
        <v>0.5</v>
      </c>
    </row>
    <row r="104" spans="1:10" ht="50.4" x14ac:dyDescent="0.2">
      <c r="A104" s="20">
        <v>45716</v>
      </c>
      <c r="B104" s="20" t="s">
        <v>13</v>
      </c>
      <c r="C104" s="22" t="s">
        <v>14</v>
      </c>
      <c r="D104" s="22" t="s">
        <v>15</v>
      </c>
      <c r="E104" s="22" t="s">
        <v>25</v>
      </c>
      <c r="F104" s="22" t="s">
        <v>17</v>
      </c>
      <c r="G104" s="23" t="s">
        <v>111</v>
      </c>
      <c r="H104" s="24">
        <f t="shared" si="1"/>
        <v>0.125</v>
      </c>
      <c r="I104" s="25">
        <v>0.54166666666666663</v>
      </c>
      <c r="J104" s="25">
        <v>0.66666666666666663</v>
      </c>
    </row>
    <row r="105" spans="1:10" ht="25.2" x14ac:dyDescent="0.2">
      <c r="A105" s="20">
        <v>45716</v>
      </c>
      <c r="B105" s="20" t="s">
        <v>13</v>
      </c>
      <c r="C105" s="22" t="s">
        <v>14</v>
      </c>
      <c r="D105" s="22" t="s">
        <v>15</v>
      </c>
      <c r="E105" s="22" t="s">
        <v>22</v>
      </c>
      <c r="F105" s="22" t="s">
        <v>17</v>
      </c>
      <c r="G105" s="23" t="s">
        <v>112</v>
      </c>
      <c r="H105" s="24">
        <f t="shared" si="1"/>
        <v>4.1666666666666741E-2</v>
      </c>
      <c r="I105" s="25">
        <v>0.66666666666666663</v>
      </c>
      <c r="J105" s="25">
        <v>0.70833333333333337</v>
      </c>
    </row>
    <row r="106" spans="1:10" ht="25.2" x14ac:dyDescent="0.2">
      <c r="A106" s="104">
        <v>45716</v>
      </c>
      <c r="B106" s="104" t="s">
        <v>13</v>
      </c>
      <c r="C106" s="105" t="s">
        <v>14</v>
      </c>
      <c r="D106" s="105" t="s">
        <v>15</v>
      </c>
      <c r="E106" s="105" t="s">
        <v>22</v>
      </c>
      <c r="F106" s="105" t="s">
        <v>17</v>
      </c>
      <c r="G106" s="106" t="s">
        <v>113</v>
      </c>
      <c r="H106" s="107">
        <f>J106-I106</f>
        <v>2.0833333333333259E-2</v>
      </c>
      <c r="I106" s="108">
        <v>0.70833333333333337</v>
      </c>
      <c r="J106" s="108">
        <v>0.72916666666666663</v>
      </c>
    </row>
    <row r="108" spans="1:10" ht="13.95" customHeight="1" thickBot="1" x14ac:dyDescent="0.3">
      <c r="A108" s="39"/>
      <c r="B108" s="38"/>
      <c r="C108" s="38"/>
      <c r="D108" s="38"/>
      <c r="E108" s="38"/>
      <c r="F108" s="38"/>
      <c r="G108" s="38"/>
      <c r="H108" s="31"/>
      <c r="I108" s="32"/>
    </row>
    <row r="109" spans="1:10" ht="13.95" customHeight="1" x14ac:dyDescent="0.25">
      <c r="A109" s="2"/>
      <c r="B109" s="2"/>
      <c r="C109" s="3"/>
      <c r="D109" s="4"/>
      <c r="E109" s="5" t="s">
        <v>114</v>
      </c>
      <c r="F109" s="6">
        <f>F110*8</f>
        <v>160</v>
      </c>
      <c r="H109" s="35"/>
      <c r="I109" s="61"/>
    </row>
    <row r="110" spans="1:10" ht="13.95" customHeight="1" thickBot="1" x14ac:dyDescent="0.3">
      <c r="A110" s="2"/>
      <c r="B110" s="2"/>
      <c r="C110" s="7"/>
      <c r="D110" s="1"/>
      <c r="E110" s="8" t="s">
        <v>115</v>
      </c>
      <c r="F110" s="9">
        <v>20</v>
      </c>
      <c r="H110" s="35"/>
    </row>
    <row r="111" spans="1:10" ht="13.95" customHeight="1" thickBot="1" x14ac:dyDescent="0.3">
      <c r="A111" s="109" t="s">
        <v>116</v>
      </c>
      <c r="B111" s="109"/>
      <c r="C111" s="109"/>
      <c r="D111" s="10"/>
      <c r="E111" s="1"/>
      <c r="F111" s="1"/>
      <c r="H111" s="35"/>
    </row>
    <row r="112" spans="1:10" ht="13.8" x14ac:dyDescent="0.25">
      <c r="A112" s="11"/>
      <c r="B112" s="11"/>
      <c r="C112" s="4"/>
      <c r="D112" s="4"/>
      <c r="E112" s="12" t="s">
        <v>117</v>
      </c>
      <c r="F112" s="13">
        <f>SUMIF(F9:F106,"Billable",H9:H106)</f>
        <v>0</v>
      </c>
      <c r="H112" s="33"/>
    </row>
    <row r="113" spans="1:8" ht="15" customHeight="1" thickBot="1" x14ac:dyDescent="0.3">
      <c r="A113" s="110" t="s">
        <v>118</v>
      </c>
      <c r="B113" s="110"/>
      <c r="C113" s="110"/>
      <c r="D113" s="14"/>
      <c r="E113" s="15" t="s">
        <v>119</v>
      </c>
      <c r="F113" s="16">
        <f>SUMIF(F9:F106,"Non-Billable",H9:H106)</f>
        <v>5.6958333333333311</v>
      </c>
      <c r="H113" s="35"/>
    </row>
    <row r="114" spans="1:8" ht="14.4" thickBot="1" x14ac:dyDescent="0.3">
      <c r="A114" s="1"/>
      <c r="B114" s="1"/>
      <c r="C114" s="1"/>
      <c r="D114" s="1"/>
      <c r="E114" s="17" t="s">
        <v>120</v>
      </c>
      <c r="F114" s="37">
        <f>F112+F113</f>
        <v>5.6958333333333311</v>
      </c>
      <c r="H114" s="35"/>
    </row>
    <row r="115" spans="1:8" ht="13.8" thickBot="1" x14ac:dyDescent="0.3">
      <c r="A115" s="1"/>
      <c r="B115" s="1"/>
      <c r="C115" s="1"/>
      <c r="D115" s="1"/>
      <c r="E115" s="1"/>
      <c r="F115" s="1"/>
      <c r="H115" s="35"/>
    </row>
    <row r="116" spans="1:8" ht="13.8" thickBot="1" x14ac:dyDescent="0.3">
      <c r="A116" s="1"/>
      <c r="B116" s="1"/>
      <c r="C116" s="1"/>
      <c r="D116" s="1"/>
      <c r="E116" s="18" t="s">
        <v>121</v>
      </c>
      <c r="F116" s="19"/>
      <c r="H116" s="35"/>
    </row>
    <row r="117" spans="1:8" ht="13.2" thickBot="1" x14ac:dyDescent="0.25">
      <c r="E117" s="34"/>
      <c r="H117" s="35"/>
    </row>
  </sheetData>
  <mergeCells count="2">
    <mergeCell ref="A111:C111"/>
    <mergeCell ref="A113:C113"/>
  </mergeCells>
  <phoneticPr fontId="10" type="noConversion"/>
  <conditionalFormatting sqref="A6:B6 D6:E7">
    <cfRule type="containsText" dxfId="15" priority="16" operator="containsText" text="Religious Leave">
      <formula>NOT(ISERROR(SEARCH("Religious Leave",A6)))</formula>
    </cfRule>
    <cfRule type="containsText" dxfId="14" priority="17" operator="containsText" text="Birthday Leave">
      <formula>NOT(ISERROR(SEARCH("Birthday Leave",A6)))</formula>
    </cfRule>
    <cfRule type="containsText" dxfId="13" priority="18" operator="containsText" text="Study Leave">
      <formula>NOT(ISERROR(SEARCH("Study Leave",A6)))</formula>
    </cfRule>
    <cfRule type="containsText" dxfId="12" priority="19" operator="containsText" text="Family Responsibility Leave">
      <formula>NOT(ISERROR(SEARCH("Family Responsibility Leave",A6)))</formula>
    </cfRule>
    <cfRule type="containsText" dxfId="11" priority="20" operator="containsText" text="Sick Leave">
      <formula>NOT(ISERROR(SEARCH("Sick Leave",A6)))</formula>
    </cfRule>
    <cfRule type="containsText" dxfId="10" priority="21" operator="containsText" text="Annual Leave">
      <formula>NOT(ISERROR(SEARCH("Annual Leave",A6)))</formula>
    </cfRule>
    <cfRule type="cellIs" dxfId="9" priority="22" operator="equal">
      <formula>"Public Holiday"</formula>
    </cfRule>
  </conditionalFormatting>
  <conditionalFormatting sqref="B7:B23 B25:B106 B108:B117">
    <cfRule type="containsText" dxfId="8" priority="10" operator="containsText" text="Saturday">
      <formula>NOT(ISERROR(SEARCH("Saturday",B7)))</formula>
    </cfRule>
    <cfRule type="containsText" dxfId="7" priority="11" operator="containsText" text="Sunday">
      <formula>NOT(ISERROR(SEARCH("Sunday",B7)))</formula>
    </cfRule>
  </conditionalFormatting>
  <conditionalFormatting sqref="D108:E109 D111:E113 E116">
    <cfRule type="containsText" dxfId="6" priority="3" operator="containsText" text="Religious Leave">
      <formula>NOT(ISERROR(SEARCH("Religious Leave",D108)))</formula>
    </cfRule>
    <cfRule type="containsText" dxfId="5" priority="4" operator="containsText" text="Birthday Leave">
      <formula>NOT(ISERROR(SEARCH("Birthday Leave",D108)))</formula>
    </cfRule>
    <cfRule type="containsText" dxfId="4" priority="5" operator="containsText" text="Study Leave">
      <formula>NOT(ISERROR(SEARCH("Study Leave",D108)))</formula>
    </cfRule>
    <cfRule type="containsText" dxfId="3" priority="6" operator="containsText" text="Family Responsibility Leave">
      <formula>NOT(ISERROR(SEARCH("Family Responsibility Leave",D108)))</formula>
    </cfRule>
    <cfRule type="containsText" dxfId="2" priority="7" operator="containsText" text="Sick Leave">
      <formula>NOT(ISERROR(SEARCH("Sick Leave",D108)))</formula>
    </cfRule>
    <cfRule type="containsText" dxfId="1" priority="8" operator="containsText" text="Annual Leave">
      <formula>NOT(ISERROR(SEARCH("Annual Leave",D108)))</formula>
    </cfRule>
    <cfRule type="cellIs" dxfId="0" priority="9" operator="equal">
      <formula>"Public Holiday"</formula>
    </cfRule>
  </conditionalFormatting>
  <dataValidations count="2">
    <dataValidation type="time" allowBlank="1" showErrorMessage="1" errorTitle="Invalid Time Format" error="Please input a valid time. For e.g. 08:00" sqref="I9:J9" xr:uid="{9E67B90E-C51A-4A2B-AC26-F02D0680E631}">
      <formula1>0</formula1>
      <formula2>0.999988425925926</formula2>
    </dataValidation>
    <dataValidation type="time" allowBlank="1" showErrorMessage="1" errorTitle="Invlaid Time Format" error="Please input a valid time. For e.g. 08:00" sqref="I10:J106" xr:uid="{CE0786D6-D6FC-4D29-A71B-4E1546091D4D}">
      <formula1>0</formula1>
      <formula2>0.999988425925926</formula2>
    </dataValidation>
  </dataValidations>
  <pageMargins left="0.7" right="0.7" top="0.75" bottom="0.75" header="0.3" footer="0.3"/>
  <pageSetup paperSize="9" scale="75" orientation="portrait" horizontalDpi="4294967293" r:id="rId1"/>
  <headerFooter>
    <oddFooter>&amp;L_x000D_&amp;1#&amp;"Calibri"&amp;8&amp;K000000 Classified as Confidential</oddFooter>
  </headerFooter>
  <drawing r:id="rId2"/>
  <tableParts count="1">
    <tablePart r:id="rId3"/>
  </tableParts>
  <extLst>
    <ext xmlns:x14="http://schemas.microsoft.com/office/spreadsheetml/2009/9/main" uri="{CCE6A557-97BC-4b89-ADB6-D9C93CAAB3DF}">
      <x14:dataValidations xmlns:xm="http://schemas.microsoft.com/office/excel/2006/main" count="6">
        <x14:dataValidation type="list" allowBlank="1" showInputMessage="1" showErrorMessage="1" xr:uid="{B2DFC771-5C46-4C68-BCEC-AB576F2398A7}">
          <x14:formula1>
            <xm:f>Key!$B$2:$B$48</xm:f>
          </x14:formula1>
          <xm:sqref>C10:C31 C33:C106</xm:sqref>
        </x14:dataValidation>
        <x14:dataValidation type="list" allowBlank="1" showInputMessage="1" showErrorMessage="1" xr:uid="{6375413B-0301-4C39-BE43-5A483338A0E5}">
          <x14:formula1>
            <xm:f>Key!$H$3:$H$62</xm:f>
          </x14:formula1>
          <xm:sqref>B5</xm:sqref>
        </x14:dataValidation>
        <x14:dataValidation type="list" allowBlank="1" showInputMessage="1" showErrorMessage="1" xr:uid="{07474D5A-CE19-4141-AA7A-37F49FF2FABA}">
          <x14:formula1>
            <xm:f>Key!$F$3:$F$47</xm:f>
          </x14:formula1>
          <xm:sqref>E9</xm:sqref>
        </x14:dataValidation>
        <x14:dataValidation type="list" allowBlank="1" showInputMessage="1" showErrorMessage="1" xr:uid="{8EC7A77F-1960-4039-9C5A-D3A9B855507A}">
          <x14:formula1>
            <xm:f>Key!$B$2:$B$43</xm:f>
          </x14:formula1>
          <xm:sqref>C9</xm:sqref>
        </x14:dataValidation>
        <x14:dataValidation type="list" allowBlank="1" showInputMessage="1" showErrorMessage="1" xr:uid="{55545D3E-18E2-4FBA-A7F1-0F256C99991F}">
          <x14:formula1>
            <xm:f>Key!$F$3:$F$54</xm:f>
          </x14:formula1>
          <xm:sqref>F10:F11 F41:F42 F74:F75 E10:E106</xm:sqref>
        </x14:dataValidation>
        <x14:dataValidation type="list" allowBlank="1" showInputMessage="1" showErrorMessage="1" xr:uid="{330989AD-23D3-40C7-8F80-A5E41B510EE5}">
          <x14:formula1>
            <xm:f>Key!$K$3:$K$4</xm:f>
          </x14:formula1>
          <xm:sqref>F12:F40 F9 F43:F73 F76:F106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8E8809-782A-4EC8-A7EE-23E6EB29126F}">
  <dimension ref="A1:O18"/>
  <sheetViews>
    <sheetView zoomScale="75" zoomScaleNormal="75" workbookViewId="0">
      <selection activeCell="H13" sqref="H13"/>
    </sheetView>
  </sheetViews>
  <sheetFormatPr defaultColWidth="8.69921875" defaultRowHeight="12.6" x14ac:dyDescent="0.2"/>
  <cols>
    <col min="1" max="1" width="12" style="21" customWidth="1"/>
    <col min="2" max="2" width="13.09765625" style="21" customWidth="1"/>
    <col min="3" max="3" width="16.19921875" style="21" bestFit="1" customWidth="1"/>
    <col min="4" max="4" width="8.69921875" style="21"/>
    <col min="5" max="5" width="13.19921875" style="21" customWidth="1"/>
    <col min="6" max="6" width="14.5" style="21" customWidth="1"/>
    <col min="7" max="16384" width="8.69921875" style="21"/>
  </cols>
  <sheetData>
    <row r="1" spans="1:15" ht="13.5" customHeight="1" x14ac:dyDescent="0.2">
      <c r="A1" s="81"/>
      <c r="B1" s="81"/>
      <c r="C1" s="81"/>
      <c r="D1" s="81"/>
      <c r="E1" s="81"/>
      <c r="F1" s="81"/>
    </row>
    <row r="2" spans="1:15" x14ac:dyDescent="0.2">
      <c r="A2" s="80"/>
      <c r="B2" s="80"/>
      <c r="C2" s="85"/>
      <c r="D2" s="85"/>
      <c r="E2" s="85"/>
      <c r="F2" s="85"/>
    </row>
    <row r="3" spans="1:15" x14ac:dyDescent="0.2">
      <c r="A3" s="80"/>
      <c r="B3" s="80"/>
      <c r="C3" s="86"/>
      <c r="D3" s="86"/>
      <c r="E3" s="86"/>
      <c r="F3" s="86"/>
    </row>
    <row r="4" spans="1:15" x14ac:dyDescent="0.2">
      <c r="A4" s="80"/>
      <c r="B4" s="80"/>
      <c r="C4" s="87"/>
      <c r="D4" s="87"/>
      <c r="E4" s="87"/>
      <c r="F4" s="87"/>
    </row>
    <row r="5" spans="1:15" x14ac:dyDescent="0.2">
      <c r="A5" s="32" t="s">
        <v>0</v>
      </c>
      <c r="B5" s="21" t="s">
        <v>122</v>
      </c>
      <c r="C5" s="87"/>
      <c r="D5" s="87"/>
      <c r="E5" s="87"/>
      <c r="F5" s="87"/>
    </row>
    <row r="6" spans="1:15" x14ac:dyDescent="0.2">
      <c r="A6" s="80" t="s">
        <v>123</v>
      </c>
      <c r="B6" s="82">
        <f>F17</f>
        <v>200</v>
      </c>
      <c r="C6" s="85"/>
      <c r="D6" s="86"/>
      <c r="E6" s="86"/>
      <c r="F6" s="86"/>
    </row>
    <row r="7" spans="1:15" ht="13.5" customHeight="1" x14ac:dyDescent="0.2">
      <c r="A7" s="74"/>
      <c r="B7" s="75"/>
      <c r="C7" s="75"/>
      <c r="D7" s="86"/>
      <c r="E7" s="86"/>
      <c r="F7" s="86"/>
    </row>
    <row r="8" spans="1:15" ht="27.45" customHeight="1" x14ac:dyDescent="0.2">
      <c r="A8" s="116" t="s">
        <v>124</v>
      </c>
      <c r="B8" s="116"/>
      <c r="C8" s="116"/>
      <c r="D8" s="116"/>
      <c r="E8" s="116"/>
      <c r="F8" s="116"/>
    </row>
    <row r="9" spans="1:15" ht="13.5" customHeight="1" thickBot="1" x14ac:dyDescent="0.25">
      <c r="A9" s="83" t="s">
        <v>125</v>
      </c>
      <c r="B9" s="113" t="s">
        <v>126</v>
      </c>
      <c r="C9" s="114"/>
      <c r="D9" s="113" t="s">
        <v>127</v>
      </c>
      <c r="E9" s="114"/>
      <c r="F9" s="84" t="s">
        <v>128</v>
      </c>
    </row>
    <row r="10" spans="1:15" x14ac:dyDescent="0.2">
      <c r="A10" s="79">
        <v>45566</v>
      </c>
      <c r="B10" s="115" t="s">
        <v>129</v>
      </c>
      <c r="C10" s="115"/>
      <c r="D10" s="115" t="s">
        <v>130</v>
      </c>
      <c r="E10" s="115"/>
      <c r="F10" s="78">
        <v>200</v>
      </c>
      <c r="G10" s="111" t="s">
        <v>131</v>
      </c>
      <c r="H10" s="112"/>
      <c r="I10" s="112"/>
      <c r="J10" s="112"/>
      <c r="K10" s="112"/>
      <c r="L10" s="112"/>
      <c r="M10" s="112"/>
      <c r="N10" s="112"/>
      <c r="O10" s="112"/>
    </row>
    <row r="11" spans="1:15" x14ac:dyDescent="0.2">
      <c r="A11" s="79">
        <v>45566</v>
      </c>
      <c r="B11" s="117" t="s">
        <v>132</v>
      </c>
      <c r="C11" s="118"/>
      <c r="D11" s="115" t="s">
        <v>133</v>
      </c>
      <c r="E11" s="115"/>
      <c r="F11" s="78"/>
    </row>
    <row r="12" spans="1:15" x14ac:dyDescent="0.2">
      <c r="A12" s="79">
        <v>45566</v>
      </c>
      <c r="B12" s="117" t="s">
        <v>134</v>
      </c>
      <c r="C12" s="118"/>
      <c r="D12" s="115"/>
      <c r="E12" s="115"/>
      <c r="F12" s="78"/>
    </row>
    <row r="13" spans="1:15" x14ac:dyDescent="0.2">
      <c r="A13" s="79">
        <v>45566</v>
      </c>
      <c r="B13" s="117"/>
      <c r="C13" s="118"/>
      <c r="D13" s="115"/>
      <c r="E13" s="115"/>
      <c r="F13" s="78"/>
    </row>
    <row r="14" spans="1:15" x14ac:dyDescent="0.2">
      <c r="A14" s="79">
        <v>45566</v>
      </c>
      <c r="B14" s="117"/>
      <c r="C14" s="118"/>
      <c r="D14" s="115"/>
      <c r="E14" s="115"/>
      <c r="F14" s="78"/>
    </row>
    <row r="15" spans="1:15" x14ac:dyDescent="0.2">
      <c r="A15" s="79">
        <v>45566</v>
      </c>
      <c r="B15" s="122"/>
      <c r="C15" s="123"/>
      <c r="D15" s="115"/>
      <c r="E15" s="115"/>
      <c r="F15" s="78"/>
    </row>
    <row r="16" spans="1:15" ht="13.2" thickBot="1" x14ac:dyDescent="0.25">
      <c r="A16" s="79">
        <v>45566</v>
      </c>
      <c r="B16" s="117"/>
      <c r="C16" s="118"/>
      <c r="D16" s="115"/>
      <c r="E16" s="115"/>
      <c r="F16" s="78"/>
    </row>
    <row r="17" spans="1:6" ht="13.5" customHeight="1" thickBot="1" x14ac:dyDescent="0.25">
      <c r="A17" s="119" t="s">
        <v>135</v>
      </c>
      <c r="B17" s="120"/>
      <c r="C17" s="120"/>
      <c r="D17" s="120"/>
      <c r="E17" s="121"/>
      <c r="F17" s="77">
        <f>SUM(F10:F16)</f>
        <v>200</v>
      </c>
    </row>
    <row r="18" spans="1:6" x14ac:dyDescent="0.2">
      <c r="A18" s="74"/>
      <c r="B18" s="75"/>
      <c r="C18" s="75"/>
      <c r="D18" s="75"/>
      <c r="E18" s="76"/>
      <c r="F18" s="76"/>
    </row>
  </sheetData>
  <mergeCells count="19">
    <mergeCell ref="B13:C13"/>
    <mergeCell ref="D13:E13"/>
    <mergeCell ref="A17:E17"/>
    <mergeCell ref="B14:C14"/>
    <mergeCell ref="D14:E14"/>
    <mergeCell ref="B15:C15"/>
    <mergeCell ref="D15:E15"/>
    <mergeCell ref="B16:C16"/>
    <mergeCell ref="D16:E16"/>
    <mergeCell ref="A8:F8"/>
    <mergeCell ref="B11:C11"/>
    <mergeCell ref="D11:E11"/>
    <mergeCell ref="B12:C12"/>
    <mergeCell ref="D12:E12"/>
    <mergeCell ref="G10:O10"/>
    <mergeCell ref="B9:C9"/>
    <mergeCell ref="D9:E9"/>
    <mergeCell ref="B10:C10"/>
    <mergeCell ref="D10:E10"/>
  </mergeCells>
  <dataValidations count="1">
    <dataValidation type="list" allowBlank="1" showInputMessage="1" showErrorMessage="1" sqref="D7 D18" xr:uid="{517DF1E8-3052-48CF-9AE1-C19E6ECB6686}">
      <formula1>$H$2:$H$4</formula1>
    </dataValidation>
  </dataValidations>
  <pageMargins left="0.7" right="0.7" top="0.75" bottom="0.75" header="0.3" footer="0.3"/>
  <headerFooter>
    <oddFooter>&amp;L_x000D_&amp;1#&amp;"Calibri"&amp;8&amp;K000000 Classified as Confidential</oddFooter>
  </headerFooter>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47896F57-C723-4B2F-A817-4B0B599756FB}">
          <x14:formula1>
            <xm:f>Key!$H$3:$H$62</xm:f>
          </x14:formula1>
          <xm:sqref>B5</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17D5F3-AC91-43ED-96BB-0299CBED5EE0}">
  <dimension ref="A4:F23"/>
  <sheetViews>
    <sheetView zoomScale="75" zoomScaleNormal="75" workbookViewId="0">
      <selection activeCell="B5" sqref="B5"/>
    </sheetView>
  </sheetViews>
  <sheetFormatPr defaultColWidth="8.69921875" defaultRowHeight="12.6" x14ac:dyDescent="0.2"/>
  <cols>
    <col min="1" max="1" width="15.5" style="21" bestFit="1" customWidth="1"/>
    <col min="2" max="2" width="11.69921875" style="21" customWidth="1"/>
    <col min="3" max="3" width="9.69921875" style="21" customWidth="1"/>
    <col min="4" max="16384" width="8.69921875" style="21"/>
  </cols>
  <sheetData>
    <row r="4" spans="1:6" x14ac:dyDescent="0.2">
      <c r="A4" s="124"/>
      <c r="B4" s="124"/>
    </row>
    <row r="5" spans="1:6" x14ac:dyDescent="0.2">
      <c r="A5" s="32" t="s">
        <v>0</v>
      </c>
      <c r="B5" s="21" t="s">
        <v>122</v>
      </c>
    </row>
    <row r="6" spans="1:6" x14ac:dyDescent="0.2">
      <c r="A6" s="80" t="s">
        <v>136</v>
      </c>
      <c r="B6" s="80"/>
    </row>
    <row r="7" spans="1:6" x14ac:dyDescent="0.2">
      <c r="A7" s="96" t="s">
        <v>137</v>
      </c>
      <c r="B7" s="96"/>
    </row>
    <row r="8" spans="1:6" x14ac:dyDescent="0.2">
      <c r="A8" s="97"/>
      <c r="B8" s="86"/>
    </row>
    <row r="9" spans="1:6" ht="27.45" customHeight="1" x14ac:dyDescent="0.2">
      <c r="A9" s="137" t="s">
        <v>138</v>
      </c>
      <c r="B9" s="137"/>
      <c r="C9" s="137"/>
      <c r="D9" s="137"/>
      <c r="E9" s="137"/>
      <c r="F9" s="137"/>
    </row>
    <row r="10" spans="1:6" ht="25.2" x14ac:dyDescent="0.2">
      <c r="A10" s="88" t="s">
        <v>139</v>
      </c>
      <c r="B10" s="88" t="s">
        <v>140</v>
      </c>
      <c r="C10" s="88" t="s">
        <v>141</v>
      </c>
      <c r="D10" s="88" t="s">
        <v>142</v>
      </c>
      <c r="E10" s="88" t="s">
        <v>143</v>
      </c>
      <c r="F10" s="88" t="s">
        <v>144</v>
      </c>
    </row>
    <row r="11" spans="1:6" x14ac:dyDescent="0.2">
      <c r="A11" s="88"/>
      <c r="B11" s="88"/>
      <c r="C11" s="88"/>
      <c r="D11" s="88"/>
      <c r="E11" s="88"/>
      <c r="F11" s="88"/>
    </row>
    <row r="12" spans="1:6" x14ac:dyDescent="0.2">
      <c r="A12" s="88"/>
      <c r="B12" s="88"/>
      <c r="C12" s="88"/>
      <c r="D12" s="88"/>
      <c r="E12" s="88"/>
      <c r="F12" s="88"/>
    </row>
    <row r="13" spans="1:6" ht="13.2" thickBot="1" x14ac:dyDescent="0.25">
      <c r="A13" s="88"/>
      <c r="B13" s="88"/>
      <c r="C13" s="88"/>
      <c r="D13" s="88"/>
      <c r="E13" s="88"/>
      <c r="F13" s="88"/>
    </row>
    <row r="14" spans="1:6" ht="13.2" thickBot="1" x14ac:dyDescent="0.25">
      <c r="A14" s="89"/>
      <c r="B14" s="90"/>
      <c r="C14" s="90"/>
      <c r="D14" s="91">
        <f>SUM(D11:D13)</f>
        <v>0</v>
      </c>
      <c r="E14" s="90"/>
      <c r="F14" s="92"/>
    </row>
    <row r="15" spans="1:6" ht="13.2" thickBot="1" x14ac:dyDescent="0.25">
      <c r="A15" s="128"/>
      <c r="B15" s="129"/>
      <c r="C15" s="129"/>
      <c r="D15" s="129"/>
      <c r="E15" s="129"/>
      <c r="F15" s="129"/>
    </row>
    <row r="16" spans="1:6" x14ac:dyDescent="0.2">
      <c r="A16" s="138" t="s">
        <v>145</v>
      </c>
      <c r="B16" s="139"/>
      <c r="C16" s="139"/>
      <c r="D16" s="139"/>
      <c r="E16" s="139"/>
      <c r="F16" s="140"/>
    </row>
    <row r="17" spans="1:6" x14ac:dyDescent="0.2">
      <c r="A17" s="125"/>
      <c r="B17" s="126"/>
      <c r="C17" s="126"/>
      <c r="D17" s="126"/>
      <c r="E17" s="126"/>
      <c r="F17" s="127"/>
    </row>
    <row r="18" spans="1:6" x14ac:dyDescent="0.2">
      <c r="A18" s="125"/>
      <c r="B18" s="126"/>
      <c r="C18" s="126"/>
      <c r="D18" s="126"/>
      <c r="E18" s="126"/>
      <c r="F18" s="127"/>
    </row>
    <row r="19" spans="1:6" ht="13.2" thickBot="1" x14ac:dyDescent="0.25">
      <c r="A19" s="128"/>
      <c r="B19" s="129"/>
      <c r="C19" s="129"/>
      <c r="D19" s="129"/>
      <c r="E19" s="129"/>
      <c r="F19" s="130"/>
    </row>
    <row r="20" spans="1:6" ht="13.2" thickBot="1" x14ac:dyDescent="0.25"/>
    <row r="21" spans="1:6" x14ac:dyDescent="0.2">
      <c r="A21" s="93" t="s">
        <v>3</v>
      </c>
      <c r="B21" s="131"/>
      <c r="C21" s="131"/>
      <c r="D21" s="131"/>
      <c r="E21" s="131"/>
      <c r="F21" s="132"/>
    </row>
    <row r="22" spans="1:6" x14ac:dyDescent="0.2">
      <c r="A22" s="94" t="s">
        <v>146</v>
      </c>
      <c r="B22" s="133"/>
      <c r="C22" s="133"/>
      <c r="D22" s="133"/>
      <c r="E22" s="133"/>
      <c r="F22" s="134"/>
    </row>
    <row r="23" spans="1:6" ht="13.2" thickBot="1" x14ac:dyDescent="0.25">
      <c r="A23" s="95" t="s">
        <v>147</v>
      </c>
      <c r="B23" s="135"/>
      <c r="C23" s="135"/>
      <c r="D23" s="135"/>
      <c r="E23" s="135"/>
      <c r="F23" s="136"/>
    </row>
  </sheetData>
  <mergeCells count="8">
    <mergeCell ref="A4:B4"/>
    <mergeCell ref="A17:F19"/>
    <mergeCell ref="B21:F21"/>
    <mergeCell ref="B22:F22"/>
    <mergeCell ref="B23:F23"/>
    <mergeCell ref="A9:F9"/>
    <mergeCell ref="A15:F15"/>
    <mergeCell ref="A16:F16"/>
  </mergeCells>
  <dataValidations count="1">
    <dataValidation type="list" allowBlank="1" showInputMessage="1" showErrorMessage="1" sqref="A10" xr:uid="{CEFCDC94-987C-4D1C-815A-6BA49170943C}">
      <formula1>$H$2:$H$12</formula1>
    </dataValidation>
  </dataValidations>
  <pageMargins left="0.7" right="0.7" top="0.75" bottom="0.75" header="0.3" footer="0.3"/>
  <headerFooter>
    <oddFooter>&amp;L_x000D_&amp;1#&amp;"Calibri"&amp;8&amp;K000000 Classified as Confidential</oddFooter>
  </headerFooter>
  <drawing r:id="rId1"/>
  <extLst>
    <ext xmlns:x14="http://schemas.microsoft.com/office/spreadsheetml/2009/9/main" uri="{CCE6A557-97BC-4b89-ADB6-D9C93CAAB3DF}">
      <x14:dataValidations xmlns:xm="http://schemas.microsoft.com/office/excel/2006/main" count="3">
        <x14:dataValidation type="list" allowBlank="1" showInputMessage="1" showErrorMessage="1" xr:uid="{CE3D3C50-50E6-4476-A1AC-B75CC367015A}">
          <x14:formula1>
            <xm:f>Key!#REF!</xm:f>
          </x14:formula1>
          <xm:sqref>C4:F4</xm:sqref>
        </x14:dataValidation>
        <x14:dataValidation type="list" allowBlank="1" showInputMessage="1" showErrorMessage="1" xr:uid="{10ADA8E5-0E67-4753-AB35-24D5F605BBCC}">
          <x14:formula1>
            <xm:f>Key!$F$33:$F$40</xm:f>
          </x14:formula1>
          <xm:sqref>A11:A14</xm:sqref>
        </x14:dataValidation>
        <x14:dataValidation type="list" allowBlank="1" showInputMessage="1" showErrorMessage="1" xr:uid="{39EE865D-1893-4D91-9C9E-FAFF9DC830A7}">
          <x14:formula1>
            <xm:f>Key!$H$3:$H$62</xm:f>
          </x14:formula1>
          <xm:sqref>B5</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E9B26B-3D49-4153-AAFE-5F32086A9ABD}">
  <sheetPr>
    <tabColor theme="4"/>
  </sheetPr>
  <dimension ref="B2:K62"/>
  <sheetViews>
    <sheetView workbookViewId="0">
      <selection activeCell="H57" sqref="H57"/>
    </sheetView>
  </sheetViews>
  <sheetFormatPr defaultColWidth="8.69921875" defaultRowHeight="14.4" x14ac:dyDescent="0.3"/>
  <cols>
    <col min="1" max="1" width="8.69921875" style="40"/>
    <col min="2" max="2" width="25.5" style="40" customWidth="1"/>
    <col min="3" max="3" width="8.69921875" style="40"/>
    <col min="4" max="4" width="19.19921875" style="40" customWidth="1"/>
    <col min="5" max="5" width="8.69921875" style="40"/>
    <col min="6" max="6" width="21.69921875" style="40" customWidth="1"/>
    <col min="7" max="16384" width="8.69921875" style="40"/>
  </cols>
  <sheetData>
    <row r="2" spans="2:11" ht="15" thickBot="1" x14ac:dyDescent="0.35">
      <c r="B2" s="62" t="s">
        <v>14</v>
      </c>
      <c r="D2" s="41" t="s">
        <v>148</v>
      </c>
      <c r="F2" s="40" t="s">
        <v>7</v>
      </c>
      <c r="H2" s="40" t="s">
        <v>149</v>
      </c>
      <c r="K2" s="41" t="s">
        <v>150</v>
      </c>
    </row>
    <row r="3" spans="2:11" x14ac:dyDescent="0.3">
      <c r="B3" s="62" t="s">
        <v>151</v>
      </c>
      <c r="D3" s="72" t="s">
        <v>152</v>
      </c>
      <c r="F3" s="43" t="s">
        <v>153</v>
      </c>
      <c r="H3" s="63" t="s">
        <v>154</v>
      </c>
      <c r="K3" s="44" t="s">
        <v>17</v>
      </c>
    </row>
    <row r="4" spans="2:11" x14ac:dyDescent="0.3">
      <c r="B4" s="62" t="s">
        <v>155</v>
      </c>
      <c r="D4" s="42" t="s">
        <v>156</v>
      </c>
      <c r="F4" s="45" t="s">
        <v>29</v>
      </c>
      <c r="H4" s="64" t="s">
        <v>157</v>
      </c>
      <c r="K4" s="46" t="s">
        <v>150</v>
      </c>
    </row>
    <row r="5" spans="2:11" x14ac:dyDescent="0.3">
      <c r="B5" s="62" t="s">
        <v>158</v>
      </c>
      <c r="D5" s="72" t="s">
        <v>159</v>
      </c>
      <c r="F5" s="47" t="s">
        <v>160</v>
      </c>
      <c r="H5" s="65" t="s">
        <v>161</v>
      </c>
    </row>
    <row r="6" spans="2:11" x14ac:dyDescent="0.3">
      <c r="B6" s="62" t="s">
        <v>162</v>
      </c>
      <c r="D6" s="42" t="s">
        <v>163</v>
      </c>
      <c r="F6" s="45" t="s">
        <v>164</v>
      </c>
      <c r="H6" s="64" t="s">
        <v>165</v>
      </c>
    </row>
    <row r="7" spans="2:11" x14ac:dyDescent="0.3">
      <c r="B7" s="62" t="s">
        <v>166</v>
      </c>
      <c r="D7" s="72" t="s">
        <v>167</v>
      </c>
      <c r="F7" s="47" t="s">
        <v>16</v>
      </c>
      <c r="H7" s="63" t="s">
        <v>168</v>
      </c>
    </row>
    <row r="8" spans="2:11" x14ac:dyDescent="0.3">
      <c r="B8" s="62" t="s">
        <v>169</v>
      </c>
      <c r="D8" s="42" t="s">
        <v>170</v>
      </c>
      <c r="F8" s="45" t="s">
        <v>171</v>
      </c>
      <c r="H8" s="63" t="s">
        <v>172</v>
      </c>
      <c r="K8" s="40" t="s">
        <v>173</v>
      </c>
    </row>
    <row r="9" spans="2:11" x14ac:dyDescent="0.3">
      <c r="B9" s="62" t="s">
        <v>174</v>
      </c>
      <c r="D9" s="72" t="s">
        <v>175</v>
      </c>
      <c r="F9" s="47" t="s">
        <v>176</v>
      </c>
      <c r="H9" s="63" t="s">
        <v>177</v>
      </c>
      <c r="K9" s="40" t="s">
        <v>130</v>
      </c>
    </row>
    <row r="10" spans="2:11" x14ac:dyDescent="0.3">
      <c r="B10" s="62" t="s">
        <v>178</v>
      </c>
      <c r="D10" s="42" t="s">
        <v>179</v>
      </c>
      <c r="F10" s="45" t="s">
        <v>180</v>
      </c>
      <c r="H10" s="64" t="s">
        <v>181</v>
      </c>
    </row>
    <row r="11" spans="2:11" x14ac:dyDescent="0.3">
      <c r="B11" s="62" t="s">
        <v>182</v>
      </c>
      <c r="D11" s="72" t="s">
        <v>183</v>
      </c>
      <c r="F11" s="47" t="s">
        <v>184</v>
      </c>
      <c r="H11" s="64" t="s">
        <v>185</v>
      </c>
      <c r="K11" s="40" t="s">
        <v>186</v>
      </c>
    </row>
    <row r="12" spans="2:11" x14ac:dyDescent="0.3">
      <c r="B12" s="62" t="s">
        <v>187</v>
      </c>
      <c r="F12" s="45" t="s">
        <v>188</v>
      </c>
      <c r="H12" s="63" t="s">
        <v>189</v>
      </c>
      <c r="K12" s="40" t="s">
        <v>190</v>
      </c>
    </row>
    <row r="13" spans="2:11" x14ac:dyDescent="0.3">
      <c r="B13" s="62" t="s">
        <v>191</v>
      </c>
      <c r="F13" s="47" t="s">
        <v>192</v>
      </c>
      <c r="H13" s="66" t="s">
        <v>193</v>
      </c>
    </row>
    <row r="14" spans="2:11" x14ac:dyDescent="0.3">
      <c r="B14" s="62" t="s">
        <v>194</v>
      </c>
      <c r="D14" s="48"/>
      <c r="F14" s="45" t="s">
        <v>195</v>
      </c>
      <c r="H14" s="67" t="s">
        <v>196</v>
      </c>
    </row>
    <row r="15" spans="2:11" x14ac:dyDescent="0.3">
      <c r="B15" s="62" t="s">
        <v>197</v>
      </c>
      <c r="D15" s="49"/>
      <c r="F15" s="47" t="s">
        <v>198</v>
      </c>
      <c r="H15" s="67" t="s">
        <v>199</v>
      </c>
    </row>
    <row r="16" spans="2:11" x14ac:dyDescent="0.3">
      <c r="B16" s="62" t="s">
        <v>200</v>
      </c>
      <c r="D16" s="49"/>
      <c r="F16" s="45" t="s">
        <v>201</v>
      </c>
      <c r="H16" s="67" t="s">
        <v>202</v>
      </c>
    </row>
    <row r="17" spans="2:8" ht="27.6" x14ac:dyDescent="0.3">
      <c r="B17" s="62" t="s">
        <v>203</v>
      </c>
      <c r="D17" s="49"/>
      <c r="F17" s="47" t="s">
        <v>204</v>
      </c>
      <c r="H17" s="67" t="s">
        <v>205</v>
      </c>
    </row>
    <row r="18" spans="2:8" x14ac:dyDescent="0.3">
      <c r="B18" s="62" t="s">
        <v>206</v>
      </c>
      <c r="D18" s="49"/>
      <c r="F18" s="45" t="s">
        <v>207</v>
      </c>
      <c r="H18" s="66" t="s">
        <v>208</v>
      </c>
    </row>
    <row r="19" spans="2:8" x14ac:dyDescent="0.3">
      <c r="B19" s="62" t="s">
        <v>209</v>
      </c>
      <c r="D19" s="49"/>
      <c r="F19" s="47" t="s">
        <v>22</v>
      </c>
      <c r="H19" s="67" t="s">
        <v>210</v>
      </c>
    </row>
    <row r="20" spans="2:8" x14ac:dyDescent="0.3">
      <c r="B20" s="62" t="s">
        <v>211</v>
      </c>
      <c r="D20" s="49"/>
      <c r="F20" s="45" t="s">
        <v>212</v>
      </c>
      <c r="H20" s="66" t="s">
        <v>213</v>
      </c>
    </row>
    <row r="21" spans="2:8" x14ac:dyDescent="0.3">
      <c r="B21" s="62" t="s">
        <v>214</v>
      </c>
      <c r="D21" s="49"/>
      <c r="F21" s="47" t="s">
        <v>215</v>
      </c>
      <c r="H21" s="66" t="s">
        <v>216</v>
      </c>
    </row>
    <row r="22" spans="2:8" x14ac:dyDescent="0.3">
      <c r="B22" s="62" t="s">
        <v>217</v>
      </c>
      <c r="D22" s="49"/>
      <c r="F22" s="45" t="s">
        <v>33</v>
      </c>
      <c r="H22" s="66" t="s">
        <v>218</v>
      </c>
    </row>
    <row r="23" spans="2:8" x14ac:dyDescent="0.3">
      <c r="B23" s="62" t="s">
        <v>219</v>
      </c>
      <c r="D23" s="49"/>
      <c r="F23" s="47" t="s">
        <v>57</v>
      </c>
      <c r="H23" s="64" t="s">
        <v>220</v>
      </c>
    </row>
    <row r="24" spans="2:8" x14ac:dyDescent="0.3">
      <c r="B24" s="62" t="s">
        <v>221</v>
      </c>
      <c r="D24" s="49"/>
      <c r="F24" s="45" t="s">
        <v>25</v>
      </c>
      <c r="H24" s="66" t="s">
        <v>222</v>
      </c>
    </row>
    <row r="25" spans="2:8" x14ac:dyDescent="0.3">
      <c r="B25" s="62" t="s">
        <v>223</v>
      </c>
      <c r="D25" s="49"/>
      <c r="F25" s="47" t="s">
        <v>224</v>
      </c>
      <c r="H25" s="68" t="s">
        <v>225</v>
      </c>
    </row>
    <row r="26" spans="2:8" x14ac:dyDescent="0.3">
      <c r="B26" s="62" t="s">
        <v>226</v>
      </c>
      <c r="F26" s="45" t="s">
        <v>227</v>
      </c>
      <c r="H26" s="69" t="s">
        <v>228</v>
      </c>
    </row>
    <row r="27" spans="2:8" x14ac:dyDescent="0.3">
      <c r="B27" s="62" t="s">
        <v>229</v>
      </c>
      <c r="D27" s="49"/>
      <c r="F27" s="47" t="s">
        <v>230</v>
      </c>
      <c r="H27" s="70" t="s">
        <v>231</v>
      </c>
    </row>
    <row r="28" spans="2:8" x14ac:dyDescent="0.3">
      <c r="B28" s="62" t="s">
        <v>232</v>
      </c>
      <c r="D28" s="49"/>
      <c r="F28" s="45" t="s">
        <v>233</v>
      </c>
      <c r="H28" s="69" t="s">
        <v>234</v>
      </c>
    </row>
    <row r="29" spans="2:8" x14ac:dyDescent="0.3">
      <c r="B29" s="62" t="s">
        <v>235</v>
      </c>
      <c r="F29" s="47" t="s">
        <v>236</v>
      </c>
      <c r="H29" s="71" t="s">
        <v>237</v>
      </c>
    </row>
    <row r="30" spans="2:8" x14ac:dyDescent="0.3">
      <c r="B30" s="62" t="s">
        <v>238</v>
      </c>
      <c r="F30" s="45" t="s">
        <v>239</v>
      </c>
      <c r="H30" s="70" t="s">
        <v>240</v>
      </c>
    </row>
    <row r="31" spans="2:8" x14ac:dyDescent="0.3">
      <c r="B31" s="62" t="s">
        <v>241</v>
      </c>
      <c r="F31" s="47" t="s">
        <v>242</v>
      </c>
      <c r="H31" s="70" t="s">
        <v>243</v>
      </c>
    </row>
    <row r="32" spans="2:8" x14ac:dyDescent="0.3">
      <c r="B32" s="62" t="s">
        <v>244</v>
      </c>
      <c r="F32" s="45" t="s">
        <v>245</v>
      </c>
      <c r="H32" s="70" t="s">
        <v>246</v>
      </c>
    </row>
    <row r="33" spans="2:8" x14ac:dyDescent="0.3">
      <c r="B33" s="62" t="s">
        <v>247</v>
      </c>
      <c r="F33" s="47" t="s">
        <v>248</v>
      </c>
      <c r="H33" s="70" t="s">
        <v>249</v>
      </c>
    </row>
    <row r="34" spans="2:8" x14ac:dyDescent="0.3">
      <c r="B34" s="62" t="s">
        <v>250</v>
      </c>
      <c r="F34" s="45" t="s">
        <v>251</v>
      </c>
      <c r="H34" s="70" t="s">
        <v>252</v>
      </c>
    </row>
    <row r="35" spans="2:8" x14ac:dyDescent="0.3">
      <c r="B35" s="62" t="s">
        <v>253</v>
      </c>
      <c r="F35" s="47" t="s">
        <v>254</v>
      </c>
      <c r="H35" s="70" t="s">
        <v>255</v>
      </c>
    </row>
    <row r="36" spans="2:8" x14ac:dyDescent="0.3">
      <c r="B36" s="62" t="s">
        <v>256</v>
      </c>
      <c r="F36" s="45" t="s">
        <v>257</v>
      </c>
      <c r="H36" s="70" t="s">
        <v>258</v>
      </c>
    </row>
    <row r="37" spans="2:8" x14ac:dyDescent="0.3">
      <c r="B37" s="62" t="s">
        <v>259</v>
      </c>
      <c r="F37" s="45" t="s">
        <v>260</v>
      </c>
      <c r="H37" s="70" t="s">
        <v>261</v>
      </c>
    </row>
    <row r="38" spans="2:8" x14ac:dyDescent="0.3">
      <c r="B38" s="62" t="s">
        <v>262</v>
      </c>
      <c r="F38" s="45" t="s">
        <v>263</v>
      </c>
      <c r="H38" s="70" t="s">
        <v>264</v>
      </c>
    </row>
    <row r="39" spans="2:8" x14ac:dyDescent="0.3">
      <c r="B39" s="62" t="s">
        <v>265</v>
      </c>
      <c r="F39" s="45" t="s">
        <v>266</v>
      </c>
      <c r="H39" s="70" t="s">
        <v>267</v>
      </c>
    </row>
    <row r="40" spans="2:8" x14ac:dyDescent="0.3">
      <c r="B40" s="62" t="s">
        <v>268</v>
      </c>
      <c r="H40" s="70" t="s">
        <v>269</v>
      </c>
    </row>
    <row r="41" spans="2:8" x14ac:dyDescent="0.3">
      <c r="B41" s="52"/>
      <c r="D41" s="53"/>
      <c r="H41" s="63" t="s">
        <v>270</v>
      </c>
    </row>
    <row r="42" spans="2:8" x14ac:dyDescent="0.3">
      <c r="B42" s="50"/>
      <c r="H42" s="70" t="s">
        <v>271</v>
      </c>
    </row>
    <row r="43" spans="2:8" x14ac:dyDescent="0.3">
      <c r="H43" s="69" t="s">
        <v>272</v>
      </c>
    </row>
    <row r="44" spans="2:8" x14ac:dyDescent="0.3">
      <c r="B44" s="51"/>
      <c r="H44" s="70" t="s">
        <v>273</v>
      </c>
    </row>
    <row r="45" spans="2:8" x14ac:dyDescent="0.3">
      <c r="H45" s="70" t="s">
        <v>274</v>
      </c>
    </row>
    <row r="46" spans="2:8" x14ac:dyDescent="0.3">
      <c r="H46" s="70" t="s">
        <v>275</v>
      </c>
    </row>
    <row r="47" spans="2:8" x14ac:dyDescent="0.3">
      <c r="B47" s="51"/>
      <c r="H47" s="70" t="s">
        <v>276</v>
      </c>
    </row>
    <row r="48" spans="2:8" x14ac:dyDescent="0.3">
      <c r="H48" s="69" t="s">
        <v>277</v>
      </c>
    </row>
    <row r="49" spans="8:8" x14ac:dyDescent="0.3">
      <c r="H49" s="69" t="s">
        <v>278</v>
      </c>
    </row>
    <row r="50" spans="8:8" x14ac:dyDescent="0.3">
      <c r="H50" s="69" t="s">
        <v>279</v>
      </c>
    </row>
    <row r="51" spans="8:8" x14ac:dyDescent="0.3">
      <c r="H51" s="69" t="s">
        <v>280</v>
      </c>
    </row>
    <row r="52" spans="8:8" x14ac:dyDescent="0.3">
      <c r="H52" s="55" t="s">
        <v>281</v>
      </c>
    </row>
    <row r="53" spans="8:8" x14ac:dyDescent="0.3">
      <c r="H53" s="54" t="s">
        <v>282</v>
      </c>
    </row>
    <row r="54" spans="8:8" x14ac:dyDescent="0.3">
      <c r="H54" s="55" t="s">
        <v>122</v>
      </c>
    </row>
    <row r="55" spans="8:8" ht="15" thickBot="1" x14ac:dyDescent="0.35">
      <c r="H55" s="56" t="s">
        <v>283</v>
      </c>
    </row>
    <row r="56" spans="8:8" ht="15" thickBot="1" x14ac:dyDescent="0.35">
      <c r="H56" s="60" t="s">
        <v>1</v>
      </c>
    </row>
    <row r="57" spans="8:8" ht="15" thickBot="1" x14ac:dyDescent="0.35">
      <c r="H57" s="60"/>
    </row>
    <row r="58" spans="8:8" ht="15" thickBot="1" x14ac:dyDescent="0.35">
      <c r="H58" s="57"/>
    </row>
    <row r="59" spans="8:8" ht="15" thickBot="1" x14ac:dyDescent="0.35">
      <c r="H59" s="57"/>
    </row>
    <row r="60" spans="8:8" ht="15" thickBot="1" x14ac:dyDescent="0.35">
      <c r="H60" s="58"/>
    </row>
    <row r="61" spans="8:8" ht="15" thickBot="1" x14ac:dyDescent="0.35">
      <c r="H61" s="59"/>
    </row>
    <row r="62" spans="8:8" ht="15" thickBot="1" x14ac:dyDescent="0.35">
      <c r="H62" s="57"/>
    </row>
  </sheetData>
  <sortState xmlns:xlrd2="http://schemas.microsoft.com/office/spreadsheetml/2017/richdata2" ref="B5:B87">
    <sortCondition ref="B87"/>
  </sortState>
  <pageMargins left="0.7" right="0.7" top="0.75" bottom="0.75" header="0.3" footer="0.3"/>
  <headerFooter>
    <oddFooter>&amp;L_x000D_&amp;1#&amp;"Calibri"&amp;8&amp;K000000 Classified as Confidential</oddFooter>
  </headerFooter>
  <tableParts count="2">
    <tablePart r:id="rId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d277ce56-8de3-43c1-b9ce-ff5033dad840">
      <Terms xmlns="http://schemas.microsoft.com/office/infopath/2007/PartnerControls"/>
    </lcf76f155ced4ddcb4097134ff3c332f>
    <TaxCatchAll xmlns="0b8b2123-f09a-47bf-9044-f6e489c8d7a1"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DEA673424E99D044B4A1FB44474552A9" ma:contentTypeVersion="11" ma:contentTypeDescription="Create a new document." ma:contentTypeScope="" ma:versionID="541cb6b9fee9288be1513af1acd9efd1">
  <xsd:schema xmlns:xsd="http://www.w3.org/2001/XMLSchema" xmlns:xs="http://www.w3.org/2001/XMLSchema" xmlns:p="http://schemas.microsoft.com/office/2006/metadata/properties" xmlns:ns2="d277ce56-8de3-43c1-b9ce-ff5033dad840" xmlns:ns3="0b8b2123-f09a-47bf-9044-f6e489c8d7a1" targetNamespace="http://schemas.microsoft.com/office/2006/metadata/properties" ma:root="true" ma:fieldsID="073d35413c2933ae4492be48b3c2f5c2" ns2:_="" ns3:_="">
    <xsd:import namespace="d277ce56-8de3-43c1-b9ce-ff5033dad840"/>
    <xsd:import namespace="0b8b2123-f09a-47bf-9044-f6e489c8d7a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277ce56-8de3-43c1-b9ce-ff5033dad84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7cce2594-6122-4e3a-901b-0eca72ea527c"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b8b2123-f09a-47bf-9044-f6e489c8d7a1"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baeda32-f816-49b3-b408-e16626ce47b5}" ma:internalName="TaxCatchAll" ma:showField="CatchAllData" ma:web="0b8b2123-f09a-47bf-9044-f6e489c8d7a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8C57E59-0DF9-4D65-A36C-777CC56BE12A}">
  <ds:schemaRefs>
    <ds:schemaRef ds:uri="http://schemas.microsoft.com/office/2006/metadata/properties"/>
    <ds:schemaRef ds:uri="http://schemas.microsoft.com/office/infopath/2007/PartnerControls"/>
    <ds:schemaRef ds:uri="d277ce56-8de3-43c1-b9ce-ff5033dad840"/>
    <ds:schemaRef ds:uri="0b8b2123-f09a-47bf-9044-f6e489c8d7a1"/>
  </ds:schemaRefs>
</ds:datastoreItem>
</file>

<file path=customXml/itemProps2.xml><?xml version="1.0" encoding="utf-8"?>
<ds:datastoreItem xmlns:ds="http://schemas.openxmlformats.org/officeDocument/2006/customXml" ds:itemID="{5FC025E0-83C4-41A2-8CDF-080E5579774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277ce56-8de3-43c1-b9ce-ff5033dad840"/>
    <ds:schemaRef ds:uri="0b8b2123-f09a-47bf-9044-f6e489c8d7a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B424088B-8617-45D1-8A35-D201B06537C0}">
  <ds:schemaRefs>
    <ds:schemaRef ds:uri="http://schemas.microsoft.com/sharepoint/v3/contenttype/forms"/>
  </ds:schemaRefs>
</ds:datastoreItem>
</file>

<file path=docMetadata/LabelInfo.xml><?xml version="1.0" encoding="utf-8"?>
<clbl:labelList xmlns:clbl="http://schemas.microsoft.com/office/2020/mipLabelMetadata">
  <clbl:label id="{174c7352-9c5c-4558-b848-be140b444e7d}" enabled="0" method="" siteId="{174c7352-9c5c-4558-b848-be140b444e7d}"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Feb</vt:lpstr>
      <vt:lpstr>Expense Claim</vt:lpstr>
      <vt:lpstr>Leave</vt:lpstr>
      <vt:lpstr>Key</vt:lpstr>
      <vt:lpstr>tblTime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Zanele Khumalo</dc:creator>
  <cp:keywords/>
  <dc:description/>
  <cp:lastModifiedBy>Neo Motaung</cp:lastModifiedBy>
  <cp:revision/>
  <dcterms:created xsi:type="dcterms:W3CDTF">2020-04-02T09:04:10Z</dcterms:created>
  <dcterms:modified xsi:type="dcterms:W3CDTF">2025-06-03T12:58:55Z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0x010100DEA673424E99D044B4A1FB44474552A9</vt:lpwstr>
  </property>
  <property fmtid="{D5CDD505-2E9C-101B-9397-08002B2CF9AE}" pid="3" name="MediaServiceImageTags">
    <vt:lpwstr/>
  </property>
</Properties>
</file>